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Fudbal_Modeli\data\old\England w20\"/>
    </mc:Choice>
  </mc:AlternateContent>
  <xr:revisionPtr revIDLastSave="0" documentId="13_ncr:9_{88FF9977-5AC1-41F6-A3C9-60CE4705F2DE}" xr6:coauthVersionLast="47" xr6:coauthVersionMax="47" xr10:uidLastSave="{00000000-0000-0000-0000-000000000000}"/>
  <bookViews>
    <workbookView xWindow="-110" yWindow="-110" windowWidth="19420" windowHeight="10300" xr2:uid="{7CD501CC-A477-4176-9B2D-19409C78E295}"/>
  </bookViews>
  <sheets>
    <sheet name="fair_odds_corners_next_gw_20" sheetId="1" r:id="rId1"/>
  </sheets>
  <calcPr calcId="0"/>
</workbook>
</file>

<file path=xl/calcChain.xml><?xml version="1.0" encoding="utf-8"?>
<calcChain xmlns="http://schemas.openxmlformats.org/spreadsheetml/2006/main">
  <c r="F3" i="1" l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G2" i="1"/>
  <c r="F2" i="1"/>
</calcChain>
</file>

<file path=xl/sharedStrings.xml><?xml version="1.0" encoding="utf-8"?>
<sst xmlns="http://schemas.openxmlformats.org/spreadsheetml/2006/main" count="139" uniqueCount="39">
  <si>
    <t>home</t>
  </si>
  <si>
    <t>away</t>
  </si>
  <si>
    <t>line</t>
  </si>
  <si>
    <t>p_over</t>
  </si>
  <si>
    <t>p_under</t>
  </si>
  <si>
    <t>fair_odds_over</t>
  </si>
  <si>
    <t>fair_odds_under</t>
  </si>
  <si>
    <t>mu_match</t>
  </si>
  <si>
    <t>mu_league</t>
  </si>
  <si>
    <t>mu_home</t>
  </si>
  <si>
    <t>mu_away</t>
  </si>
  <si>
    <t>alpha_base</t>
  </si>
  <si>
    <t>alpha_used</t>
  </si>
  <si>
    <t>low_sample_flag</t>
  </si>
  <si>
    <t>home_matches_w</t>
  </si>
  <si>
    <t>away_matches_w</t>
  </si>
  <si>
    <t>gameweek</t>
  </si>
  <si>
    <t>Aston Villa</t>
  </si>
  <si>
    <t>Nottingham Forest</t>
  </si>
  <si>
    <t>Brighton &amp; Hove Albion</t>
  </si>
  <si>
    <t>Burnley</t>
  </si>
  <si>
    <t>Wolverhampton Wanderers</t>
  </si>
  <si>
    <t>West Ham United</t>
  </si>
  <si>
    <t>Bournemouth</t>
  </si>
  <si>
    <t>Arsenal</t>
  </si>
  <si>
    <t>Leeds</t>
  </si>
  <si>
    <t>Manchester United</t>
  </si>
  <si>
    <t>Everton</t>
  </si>
  <si>
    <t>Brentford</t>
  </si>
  <si>
    <t>Newcastle</t>
  </si>
  <si>
    <t>Crystal Palace</t>
  </si>
  <si>
    <t>Tottenham</t>
  </si>
  <si>
    <t>Sunderland</t>
  </si>
  <si>
    <t>Fulham</t>
  </si>
  <si>
    <t>Liverpool</t>
  </si>
  <si>
    <t>Manchester City</t>
  </si>
  <si>
    <t>Chelsea</t>
  </si>
  <si>
    <t>odds_over_0.08</t>
  </si>
  <si>
    <t>odds_under_0.08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</si>
</sst>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4309-CCC4-4FCA-B12F-044D37525D86}">
  <dimension ref="A1:S61"/>
  <sheetViews>
    <sheetView tabSelected="1" workbookViewId="0">
      <selection activeCell="F1" sqref="F1:G2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A2" t="s">
        <v>17</v>
      </c>
      <c r="B2" t="s">
        <v>18</v>
      </c>
      <c r="C2">
        <v>7.5</v>
      </c>
      <c r="D2">
        <v>0.77944000000000002</v>
      </c>
      <c r="E2">
        <v>0.22055999999999901</v>
      </c>
      <c r="F2">
        <f>1/(D2*1.08)</f>
        <v>1.187937398550146</v>
      </c>
      <c r="G2">
        <f>1/(E2*1.08)</f>
        <v>4.1980682169293164</v>
      </c>
      <c r="H2">
        <v>1.2829723904341499</v>
      </c>
      <c r="I2">
        <v>4.5339136742836397</v>
      </c>
      <c r="J2">
        <v>10.632566734678599</v>
      </c>
      <c r="K2">
        <v>8.8844690016635397</v>
      </c>
      <c r="L2">
        <v>6.9508485045054504</v>
      </c>
      <c r="M2">
        <v>3.6817182301731499</v>
      </c>
      <c r="N2">
        <v>7.8257600175139705E-2</v>
      </c>
      <c r="O2">
        <v>7.8257600175139705E-2</v>
      </c>
      <c r="P2">
        <v>0</v>
      </c>
      <c r="Q2">
        <v>60.8</v>
      </c>
      <c r="R2">
        <v>60.8</v>
      </c>
      <c r="S2">
        <v>20</v>
      </c>
    </row>
    <row r="3" spans="1:19" x14ac:dyDescent="0.35">
      <c r="A3" t="s">
        <v>17</v>
      </c>
      <c r="B3" t="s">
        <v>18</v>
      </c>
      <c r="C3">
        <v>8.5</v>
      </c>
      <c r="D3">
        <v>0.68618000000000001</v>
      </c>
      <c r="E3">
        <v>0.31381999999999999</v>
      </c>
      <c r="F3">
        <f t="shared" ref="F3:F61" si="0">1/(D3*1.08)</f>
        <v>1.3493921797865369</v>
      </c>
      <c r="G3">
        <f t="shared" ref="G3:G61" si="1">1/(E3*1.08)</f>
        <v>2.9505000507486008</v>
      </c>
      <c r="H3">
        <v>1.4573435541694599</v>
      </c>
      <c r="I3">
        <v>3.1865400548084799</v>
      </c>
      <c r="J3">
        <v>10.632566734678599</v>
      </c>
      <c r="K3">
        <v>8.8844690016635397</v>
      </c>
      <c r="L3">
        <v>6.9508485045054504</v>
      </c>
      <c r="M3">
        <v>3.6817182301731499</v>
      </c>
      <c r="N3">
        <v>7.8257600175139705E-2</v>
      </c>
      <c r="O3">
        <v>7.8257600175139705E-2</v>
      </c>
      <c r="P3">
        <v>0</v>
      </c>
      <c r="Q3">
        <v>60.8</v>
      </c>
      <c r="R3">
        <v>60.8</v>
      </c>
      <c r="S3">
        <v>20</v>
      </c>
    </row>
    <row r="4" spans="1:19" x14ac:dyDescent="0.35">
      <c r="A4" t="s">
        <v>17</v>
      </c>
      <c r="B4" t="s">
        <v>18</v>
      </c>
      <c r="C4">
        <v>9.5</v>
      </c>
      <c r="D4">
        <v>0.58555999999999997</v>
      </c>
      <c r="E4">
        <v>0.41443999999999998</v>
      </c>
      <c r="F4">
        <f t="shared" si="0"/>
        <v>1.5812656703427932</v>
      </c>
      <c r="G4">
        <f t="shared" si="1"/>
        <v>2.2341615817149068</v>
      </c>
      <c r="H4">
        <v>1.70776692397021</v>
      </c>
      <c r="I4">
        <v>2.4128945082520898</v>
      </c>
      <c r="J4">
        <v>10.632566734678599</v>
      </c>
      <c r="K4">
        <v>8.8844690016635397</v>
      </c>
      <c r="L4">
        <v>6.9508485045054504</v>
      </c>
      <c r="M4">
        <v>3.6817182301731499</v>
      </c>
      <c r="N4">
        <v>7.8257600175139705E-2</v>
      </c>
      <c r="O4">
        <v>7.8257600175139705E-2</v>
      </c>
      <c r="P4">
        <v>0</v>
      </c>
      <c r="Q4">
        <v>60.8</v>
      </c>
      <c r="R4">
        <v>60.8</v>
      </c>
      <c r="S4">
        <v>20</v>
      </c>
    </row>
    <row r="5" spans="1:19" x14ac:dyDescent="0.35">
      <c r="A5" t="s">
        <v>17</v>
      </c>
      <c r="B5" t="s">
        <v>18</v>
      </c>
      <c r="C5">
        <v>10.5</v>
      </c>
      <c r="D5">
        <v>0.48042000000000001</v>
      </c>
      <c r="E5">
        <v>0.51957999999999904</v>
      </c>
      <c r="F5">
        <f t="shared" si="0"/>
        <v>1.9273259354854624</v>
      </c>
      <c r="G5">
        <f t="shared" si="1"/>
        <v>1.7820661417412671</v>
      </c>
      <c r="H5">
        <v>2.0815120103242899</v>
      </c>
      <c r="I5">
        <v>1.9246314330805601</v>
      </c>
      <c r="J5">
        <v>10.632566734678599</v>
      </c>
      <c r="K5">
        <v>8.8844690016635397</v>
      </c>
      <c r="L5">
        <v>6.9508485045054504</v>
      </c>
      <c r="M5">
        <v>3.6817182301731499</v>
      </c>
      <c r="N5">
        <v>7.8257600175139705E-2</v>
      </c>
      <c r="O5">
        <v>7.8257600175139705E-2</v>
      </c>
      <c r="P5">
        <v>0</v>
      </c>
      <c r="Q5">
        <v>60.8</v>
      </c>
      <c r="R5">
        <v>60.8</v>
      </c>
      <c r="S5">
        <v>20</v>
      </c>
    </row>
    <row r="6" spans="1:19" x14ac:dyDescent="0.35">
      <c r="A6" t="s">
        <v>17</v>
      </c>
      <c r="B6" t="s">
        <v>18</v>
      </c>
      <c r="C6">
        <v>11.5</v>
      </c>
      <c r="D6">
        <v>0.38216</v>
      </c>
      <c r="E6">
        <v>0.61783999999999994</v>
      </c>
      <c r="F6">
        <f t="shared" si="0"/>
        <v>2.4228750416734508</v>
      </c>
      <c r="G6">
        <f t="shared" si="1"/>
        <v>1.4986500160655283</v>
      </c>
      <c r="H6">
        <v>2.6167050450073202</v>
      </c>
      <c r="I6">
        <v>1.6185420173507701</v>
      </c>
      <c r="J6">
        <v>10.632566734678599</v>
      </c>
      <c r="K6">
        <v>8.8844690016635397</v>
      </c>
      <c r="L6">
        <v>6.9508485045054504</v>
      </c>
      <c r="M6">
        <v>3.6817182301731499</v>
      </c>
      <c r="N6">
        <v>7.8257600175139705E-2</v>
      </c>
      <c r="O6">
        <v>7.8257600175139705E-2</v>
      </c>
      <c r="P6">
        <v>0</v>
      </c>
      <c r="Q6">
        <v>60.8</v>
      </c>
      <c r="R6">
        <v>60.8</v>
      </c>
      <c r="S6">
        <v>20</v>
      </c>
    </row>
    <row r="7" spans="1:19" x14ac:dyDescent="0.35">
      <c r="A7" t="s">
        <v>17</v>
      </c>
      <c r="B7" t="s">
        <v>18</v>
      </c>
      <c r="C7">
        <v>12.5</v>
      </c>
      <c r="D7">
        <v>0.29618</v>
      </c>
      <c r="E7">
        <v>0.70382</v>
      </c>
      <c r="F7">
        <f t="shared" si="0"/>
        <v>3.126227044114815</v>
      </c>
      <c r="G7">
        <f t="shared" si="1"/>
        <v>1.3155720580914521</v>
      </c>
      <c r="H7">
        <v>3.3763252076439998</v>
      </c>
      <c r="I7">
        <v>1.42081782273876</v>
      </c>
      <c r="J7">
        <v>10.632566734678599</v>
      </c>
      <c r="K7">
        <v>8.8844690016635397</v>
      </c>
      <c r="L7">
        <v>6.9508485045054504</v>
      </c>
      <c r="M7">
        <v>3.6817182301731499</v>
      </c>
      <c r="N7">
        <v>7.8257600175139705E-2</v>
      </c>
      <c r="O7">
        <v>7.8257600175139705E-2</v>
      </c>
      <c r="P7">
        <v>0</v>
      </c>
      <c r="Q7">
        <v>60.8</v>
      </c>
      <c r="R7">
        <v>60.8</v>
      </c>
      <c r="S7">
        <v>20</v>
      </c>
    </row>
    <row r="8" spans="1:19" x14ac:dyDescent="0.35">
      <c r="A8" t="s">
        <v>19</v>
      </c>
      <c r="B8" t="s">
        <v>20</v>
      </c>
      <c r="C8">
        <v>7.5</v>
      </c>
      <c r="D8">
        <v>0.71828000000000003</v>
      </c>
      <c r="E8">
        <v>0.28171999999999903</v>
      </c>
      <c r="F8">
        <f t="shared" si="0"/>
        <v>1.289087717778479</v>
      </c>
      <c r="G8">
        <f t="shared" si="1"/>
        <v>3.2866886480403559</v>
      </c>
      <c r="H8">
        <v>1.3922147352007499</v>
      </c>
      <c r="I8">
        <v>3.5496237398835699</v>
      </c>
      <c r="J8">
        <v>10.008623062861799</v>
      </c>
      <c r="K8">
        <v>8.8844690016635397</v>
      </c>
      <c r="L8">
        <v>6.4780705202308599</v>
      </c>
      <c r="M8">
        <v>3.5305525426309301</v>
      </c>
      <c r="N8">
        <v>7.8257600175139705E-2</v>
      </c>
      <c r="O8">
        <v>0.109560640245195</v>
      </c>
      <c r="P8">
        <v>1</v>
      </c>
      <c r="Q8">
        <v>60.8</v>
      </c>
      <c r="R8">
        <v>34.200000000000003</v>
      </c>
      <c r="S8">
        <v>20</v>
      </c>
    </row>
    <row r="9" spans="1:19" x14ac:dyDescent="0.35">
      <c r="A9" t="s">
        <v>19</v>
      </c>
      <c r="B9" t="s">
        <v>20</v>
      </c>
      <c r="C9">
        <v>8.5</v>
      </c>
      <c r="D9">
        <v>0.61661999999999995</v>
      </c>
      <c r="E9">
        <v>0.38338</v>
      </c>
      <c r="F9">
        <f t="shared" si="0"/>
        <v>1.5016151372416171</v>
      </c>
      <c r="G9">
        <f t="shared" si="1"/>
        <v>2.4151649171212006</v>
      </c>
      <c r="H9">
        <v>1.6217443482209399</v>
      </c>
      <c r="I9">
        <v>2.6083781104908899</v>
      </c>
      <c r="J9">
        <v>10.008623062861799</v>
      </c>
      <c r="K9">
        <v>8.8844690016635397</v>
      </c>
      <c r="L9">
        <v>6.4780705202308599</v>
      </c>
      <c r="M9">
        <v>3.5305525426309301</v>
      </c>
      <c r="N9">
        <v>7.8257600175139705E-2</v>
      </c>
      <c r="O9">
        <v>0.109560640245195</v>
      </c>
      <c r="P9">
        <v>1</v>
      </c>
      <c r="Q9">
        <v>60.8</v>
      </c>
      <c r="R9">
        <v>34.200000000000003</v>
      </c>
      <c r="S9">
        <v>20</v>
      </c>
    </row>
    <row r="10" spans="1:19" x14ac:dyDescent="0.35">
      <c r="A10" t="s">
        <v>19</v>
      </c>
      <c r="B10" t="s">
        <v>20</v>
      </c>
      <c r="C10">
        <v>9.5</v>
      </c>
      <c r="D10">
        <v>0.51359999999999995</v>
      </c>
      <c r="E10">
        <v>0.4864</v>
      </c>
      <c r="F10">
        <f t="shared" si="0"/>
        <v>1.8028152763355256</v>
      </c>
      <c r="G10">
        <f t="shared" si="1"/>
        <v>1.903630604288499</v>
      </c>
      <c r="H10">
        <v>1.9470404984423599</v>
      </c>
      <c r="I10">
        <v>2.0559210526315699</v>
      </c>
      <c r="J10">
        <v>10.008623062861799</v>
      </c>
      <c r="K10">
        <v>8.8844690016635397</v>
      </c>
      <c r="L10">
        <v>6.4780705202308599</v>
      </c>
      <c r="M10">
        <v>3.5305525426309301</v>
      </c>
      <c r="N10">
        <v>7.8257600175139705E-2</v>
      </c>
      <c r="O10">
        <v>0.109560640245195</v>
      </c>
      <c r="P10">
        <v>1</v>
      </c>
      <c r="Q10">
        <v>60.8</v>
      </c>
      <c r="R10">
        <v>34.200000000000003</v>
      </c>
      <c r="S10">
        <v>20</v>
      </c>
    </row>
    <row r="11" spans="1:19" x14ac:dyDescent="0.35">
      <c r="A11" t="s">
        <v>19</v>
      </c>
      <c r="B11" t="s">
        <v>20</v>
      </c>
      <c r="C11">
        <v>10.5</v>
      </c>
      <c r="D11">
        <v>0.41454000000000002</v>
      </c>
      <c r="E11">
        <v>0.58545999999999998</v>
      </c>
      <c r="F11">
        <f t="shared" si="0"/>
        <v>2.2336226321366475</v>
      </c>
      <c r="G11">
        <f t="shared" si="1"/>
        <v>1.5815357597887574</v>
      </c>
      <c r="H11">
        <v>2.4123124427075702</v>
      </c>
      <c r="I11">
        <v>1.70805862057185</v>
      </c>
      <c r="J11">
        <v>10.008623062861799</v>
      </c>
      <c r="K11">
        <v>8.8844690016635397</v>
      </c>
      <c r="L11">
        <v>6.4780705202308599</v>
      </c>
      <c r="M11">
        <v>3.5305525426309301</v>
      </c>
      <c r="N11">
        <v>7.8257600175139705E-2</v>
      </c>
      <c r="O11">
        <v>0.109560640245195</v>
      </c>
      <c r="P11">
        <v>1</v>
      </c>
      <c r="Q11">
        <v>60.8</v>
      </c>
      <c r="R11">
        <v>34.200000000000003</v>
      </c>
      <c r="S11">
        <v>20</v>
      </c>
    </row>
    <row r="12" spans="1:19" x14ac:dyDescent="0.35">
      <c r="A12" t="s">
        <v>19</v>
      </c>
      <c r="B12" t="s">
        <v>20</v>
      </c>
      <c r="C12">
        <v>11.5</v>
      </c>
      <c r="D12">
        <v>0.32463999999999998</v>
      </c>
      <c r="E12">
        <v>0.67535999999999996</v>
      </c>
      <c r="F12">
        <f t="shared" si="0"/>
        <v>2.8521621670956319</v>
      </c>
      <c r="G12">
        <f t="shared" si="1"/>
        <v>1.3710109066659646</v>
      </c>
      <c r="H12">
        <v>3.0803351404632799</v>
      </c>
      <c r="I12">
        <v>1.48069177919924</v>
      </c>
      <c r="J12">
        <v>10.008623062861799</v>
      </c>
      <c r="K12">
        <v>8.8844690016635397</v>
      </c>
      <c r="L12">
        <v>6.4780705202308599</v>
      </c>
      <c r="M12">
        <v>3.5305525426309301</v>
      </c>
      <c r="N12">
        <v>7.8257600175139705E-2</v>
      </c>
      <c r="O12">
        <v>0.109560640245195</v>
      </c>
      <c r="P12">
        <v>1</v>
      </c>
      <c r="Q12">
        <v>60.8</v>
      </c>
      <c r="R12">
        <v>34.200000000000003</v>
      </c>
      <c r="S12">
        <v>20</v>
      </c>
    </row>
    <row r="13" spans="1:19" x14ac:dyDescent="0.35">
      <c r="A13" t="s">
        <v>19</v>
      </c>
      <c r="B13" t="s">
        <v>20</v>
      </c>
      <c r="C13">
        <v>12.5</v>
      </c>
      <c r="D13">
        <v>0.24856</v>
      </c>
      <c r="E13">
        <v>0.75144</v>
      </c>
      <c r="F13">
        <f t="shared" si="0"/>
        <v>3.7251606289263188</v>
      </c>
      <c r="G13">
        <f t="shared" si="1"/>
        <v>1.2322020732539203</v>
      </c>
      <c r="H13">
        <v>4.0231734792404197</v>
      </c>
      <c r="I13">
        <v>1.33077823911423</v>
      </c>
      <c r="J13">
        <v>10.008623062861799</v>
      </c>
      <c r="K13">
        <v>8.8844690016635397</v>
      </c>
      <c r="L13">
        <v>6.4780705202308599</v>
      </c>
      <c r="M13">
        <v>3.5305525426309301</v>
      </c>
      <c r="N13">
        <v>7.8257600175139705E-2</v>
      </c>
      <c r="O13">
        <v>0.109560640245195</v>
      </c>
      <c r="P13">
        <v>1</v>
      </c>
      <c r="Q13">
        <v>60.8</v>
      </c>
      <c r="R13">
        <v>34.200000000000003</v>
      </c>
      <c r="S13">
        <v>20</v>
      </c>
    </row>
    <row r="14" spans="1:19" x14ac:dyDescent="0.35">
      <c r="A14" t="s">
        <v>21</v>
      </c>
      <c r="B14" t="s">
        <v>22</v>
      </c>
      <c r="C14">
        <v>7.5</v>
      </c>
      <c r="D14">
        <v>0.66627999999999998</v>
      </c>
      <c r="E14">
        <v>0.33372000000000002</v>
      </c>
      <c r="F14">
        <f t="shared" si="0"/>
        <v>1.3896949119378126</v>
      </c>
      <c r="G14">
        <f t="shared" si="1"/>
        <v>2.7745592890025343</v>
      </c>
      <c r="H14">
        <v>1.5008705048928299</v>
      </c>
      <c r="I14">
        <v>2.9965240321227302</v>
      </c>
      <c r="J14">
        <v>9.2671210450978894</v>
      </c>
      <c r="K14">
        <v>8.8844690016635397</v>
      </c>
      <c r="L14">
        <v>4.5308200785690103</v>
      </c>
      <c r="M14">
        <v>4.73630096652888</v>
      </c>
      <c r="N14">
        <v>7.8257600175139705E-2</v>
      </c>
      <c r="O14">
        <v>7.8257600175139705E-2</v>
      </c>
      <c r="P14">
        <v>0</v>
      </c>
      <c r="Q14">
        <v>60.8</v>
      </c>
      <c r="R14">
        <v>60.8</v>
      </c>
      <c r="S14">
        <v>20</v>
      </c>
    </row>
    <row r="15" spans="1:19" x14ac:dyDescent="0.35">
      <c r="A15" t="s">
        <v>21</v>
      </c>
      <c r="B15" t="s">
        <v>22</v>
      </c>
      <c r="C15">
        <v>8.5</v>
      </c>
      <c r="D15">
        <v>0.55230000000000001</v>
      </c>
      <c r="E15">
        <v>0.44769999999999999</v>
      </c>
      <c r="F15">
        <f t="shared" si="0"/>
        <v>1.6764909033603583</v>
      </c>
      <c r="G15">
        <f t="shared" si="1"/>
        <v>2.0681838863657047</v>
      </c>
      <c r="H15">
        <v>1.8106101756291799</v>
      </c>
      <c r="I15">
        <v>2.2336385972749602</v>
      </c>
      <c r="J15">
        <v>9.2671210450978894</v>
      </c>
      <c r="K15">
        <v>8.8844690016635397</v>
      </c>
      <c r="L15">
        <v>4.5308200785690103</v>
      </c>
      <c r="M15">
        <v>4.73630096652888</v>
      </c>
      <c r="N15">
        <v>7.8257600175139705E-2</v>
      </c>
      <c r="O15">
        <v>7.8257600175139705E-2</v>
      </c>
      <c r="P15">
        <v>0</v>
      </c>
      <c r="Q15">
        <v>60.8</v>
      </c>
      <c r="R15">
        <v>60.8</v>
      </c>
      <c r="S15">
        <v>20</v>
      </c>
    </row>
    <row r="16" spans="1:19" x14ac:dyDescent="0.35">
      <c r="A16" t="s">
        <v>21</v>
      </c>
      <c r="B16" t="s">
        <v>22</v>
      </c>
      <c r="C16">
        <v>9.5</v>
      </c>
      <c r="D16">
        <v>0.44091999999999998</v>
      </c>
      <c r="E16">
        <v>0.55908000000000002</v>
      </c>
      <c r="F16">
        <f t="shared" si="0"/>
        <v>2.0999862240903702</v>
      </c>
      <c r="G16">
        <f t="shared" si="1"/>
        <v>1.656159987704668</v>
      </c>
      <c r="H16">
        <v>2.2679851220175902</v>
      </c>
      <c r="I16">
        <v>1.78865278672104</v>
      </c>
      <c r="J16">
        <v>9.2671210450978894</v>
      </c>
      <c r="K16">
        <v>8.8844690016635397</v>
      </c>
      <c r="L16">
        <v>4.5308200785690103</v>
      </c>
      <c r="M16">
        <v>4.73630096652888</v>
      </c>
      <c r="N16">
        <v>7.8257600175139705E-2</v>
      </c>
      <c r="O16">
        <v>7.8257600175139705E-2</v>
      </c>
      <c r="P16">
        <v>0</v>
      </c>
      <c r="Q16">
        <v>60.8</v>
      </c>
      <c r="R16">
        <v>60.8</v>
      </c>
      <c r="S16">
        <v>20</v>
      </c>
    </row>
    <row r="17" spans="1:19" x14ac:dyDescent="0.35">
      <c r="A17" t="s">
        <v>21</v>
      </c>
      <c r="B17" t="s">
        <v>22</v>
      </c>
      <c r="C17">
        <v>10.5</v>
      </c>
      <c r="D17">
        <v>0.33672000000000002</v>
      </c>
      <c r="E17">
        <v>0.66327999999999998</v>
      </c>
      <c r="F17">
        <f t="shared" si="0"/>
        <v>2.7498394093784921</v>
      </c>
      <c r="G17">
        <f t="shared" si="1"/>
        <v>1.395980469674837</v>
      </c>
      <c r="H17">
        <v>2.9698265621287701</v>
      </c>
      <c r="I17">
        <v>1.50765890724882</v>
      </c>
      <c r="J17">
        <v>9.2671210450978894</v>
      </c>
      <c r="K17">
        <v>8.8844690016635397</v>
      </c>
      <c r="L17">
        <v>4.5308200785690103</v>
      </c>
      <c r="M17">
        <v>4.73630096652888</v>
      </c>
      <c r="N17">
        <v>7.8257600175139705E-2</v>
      </c>
      <c r="O17">
        <v>7.8257600175139705E-2</v>
      </c>
      <c r="P17">
        <v>0</v>
      </c>
      <c r="Q17">
        <v>60.8</v>
      </c>
      <c r="R17">
        <v>60.8</v>
      </c>
      <c r="S17">
        <v>20</v>
      </c>
    </row>
    <row r="18" spans="1:19" x14ac:dyDescent="0.35">
      <c r="A18" t="s">
        <v>21</v>
      </c>
      <c r="B18" t="s">
        <v>22</v>
      </c>
      <c r="C18">
        <v>11.5</v>
      </c>
      <c r="D18">
        <v>0.24576000000000001</v>
      </c>
      <c r="E18">
        <v>0.75424000000000002</v>
      </c>
      <c r="F18">
        <f t="shared" si="0"/>
        <v>3.7676022376543208</v>
      </c>
      <c r="G18">
        <f t="shared" si="1"/>
        <v>1.2276277125661936</v>
      </c>
      <c r="H18">
        <v>4.0690104166666599</v>
      </c>
      <c r="I18">
        <v>1.3258379295714799</v>
      </c>
      <c r="J18">
        <v>9.2671210450978894</v>
      </c>
      <c r="K18">
        <v>8.8844690016635397</v>
      </c>
      <c r="L18">
        <v>4.5308200785690103</v>
      </c>
      <c r="M18">
        <v>4.73630096652888</v>
      </c>
      <c r="N18">
        <v>7.8257600175139705E-2</v>
      </c>
      <c r="O18">
        <v>7.8257600175139705E-2</v>
      </c>
      <c r="P18">
        <v>0</v>
      </c>
      <c r="Q18">
        <v>60.8</v>
      </c>
      <c r="R18">
        <v>60.8</v>
      </c>
      <c r="S18">
        <v>20</v>
      </c>
    </row>
    <row r="19" spans="1:19" x14ac:dyDescent="0.35">
      <c r="A19" t="s">
        <v>21</v>
      </c>
      <c r="B19" t="s">
        <v>22</v>
      </c>
      <c r="C19">
        <v>12.5</v>
      </c>
      <c r="D19">
        <v>0.17355999999999999</v>
      </c>
      <c r="E19">
        <v>0.82643999999999995</v>
      </c>
      <c r="F19">
        <f t="shared" si="0"/>
        <v>5.3349039290500455</v>
      </c>
      <c r="G19">
        <f t="shared" si="1"/>
        <v>1.1203788852498984</v>
      </c>
      <c r="H19">
        <v>5.7616962433740397</v>
      </c>
      <c r="I19">
        <v>1.21000919606989</v>
      </c>
      <c r="J19">
        <v>9.2671210450978894</v>
      </c>
      <c r="K19">
        <v>8.8844690016635397</v>
      </c>
      <c r="L19">
        <v>4.5308200785690103</v>
      </c>
      <c r="M19">
        <v>4.73630096652888</v>
      </c>
      <c r="N19">
        <v>7.8257600175139705E-2</v>
      </c>
      <c r="O19">
        <v>7.8257600175139705E-2</v>
      </c>
      <c r="P19">
        <v>0</v>
      </c>
      <c r="Q19">
        <v>60.8</v>
      </c>
      <c r="R19">
        <v>60.8</v>
      </c>
      <c r="S19">
        <v>20</v>
      </c>
    </row>
    <row r="20" spans="1:19" x14ac:dyDescent="0.35">
      <c r="A20" t="s">
        <v>23</v>
      </c>
      <c r="B20" t="s">
        <v>24</v>
      </c>
      <c r="C20">
        <v>7.5</v>
      </c>
      <c r="D20">
        <v>0.69076000000000004</v>
      </c>
      <c r="E20">
        <v>0.30923999999999902</v>
      </c>
      <c r="F20">
        <f t="shared" si="0"/>
        <v>1.3404451993831807</v>
      </c>
      <c r="G20">
        <f t="shared" si="1"/>
        <v>2.9941984411005329</v>
      </c>
      <c r="H20">
        <v>1.4476808153338301</v>
      </c>
      <c r="I20">
        <v>3.2337343163885599</v>
      </c>
      <c r="J20">
        <v>9.51635346038222</v>
      </c>
      <c r="K20">
        <v>8.8844690016635397</v>
      </c>
      <c r="L20">
        <v>3.8649369079837901</v>
      </c>
      <c r="M20">
        <v>5.6514165523984197</v>
      </c>
      <c r="N20">
        <v>7.8257600175139705E-2</v>
      </c>
      <c r="O20">
        <v>7.8257600175139705E-2</v>
      </c>
      <c r="P20">
        <v>0</v>
      </c>
      <c r="Q20">
        <v>60.8</v>
      </c>
      <c r="R20">
        <v>60.8</v>
      </c>
      <c r="S20">
        <v>20</v>
      </c>
    </row>
    <row r="21" spans="1:19" x14ac:dyDescent="0.35">
      <c r="A21" t="s">
        <v>23</v>
      </c>
      <c r="B21" t="s">
        <v>24</v>
      </c>
      <c r="C21">
        <v>8.5</v>
      </c>
      <c r="D21">
        <v>0.57808000000000004</v>
      </c>
      <c r="E21">
        <v>0.42191999999999902</v>
      </c>
      <c r="F21">
        <f t="shared" si="0"/>
        <v>1.6017262765117732</v>
      </c>
      <c r="G21">
        <f t="shared" si="1"/>
        <v>2.1945532942878461</v>
      </c>
      <c r="H21">
        <v>1.7298643786327099</v>
      </c>
      <c r="I21">
        <v>2.3701175578308602</v>
      </c>
      <c r="J21">
        <v>9.51635346038222</v>
      </c>
      <c r="K21">
        <v>8.8844690016635397</v>
      </c>
      <c r="L21">
        <v>3.8649369079837901</v>
      </c>
      <c r="M21">
        <v>5.6514165523984197</v>
      </c>
      <c r="N21">
        <v>7.8257600175139705E-2</v>
      </c>
      <c r="O21">
        <v>7.8257600175139705E-2</v>
      </c>
      <c r="P21">
        <v>0</v>
      </c>
      <c r="Q21">
        <v>60.8</v>
      </c>
      <c r="R21">
        <v>60.8</v>
      </c>
      <c r="S21">
        <v>20</v>
      </c>
    </row>
    <row r="22" spans="1:19" x14ac:dyDescent="0.35">
      <c r="A22" t="s">
        <v>23</v>
      </c>
      <c r="B22" t="s">
        <v>24</v>
      </c>
      <c r="C22">
        <v>9.5</v>
      </c>
      <c r="D22">
        <v>0.46804000000000001</v>
      </c>
      <c r="E22">
        <v>0.53195999999999999</v>
      </c>
      <c r="F22">
        <f t="shared" si="0"/>
        <v>1.9783051147891759</v>
      </c>
      <c r="G22">
        <f t="shared" si="1"/>
        <v>1.7405931384426006</v>
      </c>
      <c r="H22">
        <v>2.1365695239723101</v>
      </c>
      <c r="I22">
        <v>1.8798405895179999</v>
      </c>
      <c r="J22">
        <v>9.51635346038222</v>
      </c>
      <c r="K22">
        <v>8.8844690016635397</v>
      </c>
      <c r="L22">
        <v>3.8649369079837901</v>
      </c>
      <c r="M22">
        <v>5.6514165523984197</v>
      </c>
      <c r="N22">
        <v>7.8257600175139705E-2</v>
      </c>
      <c r="O22">
        <v>7.8257600175139705E-2</v>
      </c>
      <c r="P22">
        <v>0</v>
      </c>
      <c r="Q22">
        <v>60.8</v>
      </c>
      <c r="R22">
        <v>60.8</v>
      </c>
      <c r="S22">
        <v>20</v>
      </c>
    </row>
    <row r="23" spans="1:19" x14ac:dyDescent="0.35">
      <c r="A23" t="s">
        <v>23</v>
      </c>
      <c r="B23" t="s">
        <v>24</v>
      </c>
      <c r="C23">
        <v>10.5</v>
      </c>
      <c r="D23">
        <v>0.36474000000000001</v>
      </c>
      <c r="E23">
        <v>0.63525999999999905</v>
      </c>
      <c r="F23">
        <f t="shared" si="0"/>
        <v>2.5385916705760976</v>
      </c>
      <c r="G23">
        <f t="shared" si="1"/>
        <v>1.4575542705757127</v>
      </c>
      <c r="H23">
        <v>2.7416790042221799</v>
      </c>
      <c r="I23">
        <v>1.5741586122217599</v>
      </c>
      <c r="J23">
        <v>9.51635346038222</v>
      </c>
      <c r="K23">
        <v>8.8844690016635397</v>
      </c>
      <c r="L23">
        <v>3.8649369079837901</v>
      </c>
      <c r="M23">
        <v>5.6514165523984197</v>
      </c>
      <c r="N23">
        <v>7.8257600175139705E-2</v>
      </c>
      <c r="O23">
        <v>7.8257600175139705E-2</v>
      </c>
      <c r="P23">
        <v>0</v>
      </c>
      <c r="Q23">
        <v>60.8</v>
      </c>
      <c r="R23">
        <v>60.8</v>
      </c>
      <c r="S23">
        <v>20</v>
      </c>
    </row>
    <row r="24" spans="1:19" x14ac:dyDescent="0.35">
      <c r="A24" t="s">
        <v>23</v>
      </c>
      <c r="B24" t="s">
        <v>24</v>
      </c>
      <c r="C24">
        <v>11.5</v>
      </c>
      <c r="D24">
        <v>0.27448</v>
      </c>
      <c r="E24">
        <v>0.72551999999999905</v>
      </c>
      <c r="F24">
        <f t="shared" si="0"/>
        <v>3.3733821259324022</v>
      </c>
      <c r="G24">
        <f t="shared" si="1"/>
        <v>1.276223847620916</v>
      </c>
      <c r="H24">
        <v>3.6432526960069902</v>
      </c>
      <c r="I24">
        <v>1.37832175543058</v>
      </c>
      <c r="J24">
        <v>9.51635346038222</v>
      </c>
      <c r="K24">
        <v>8.8844690016635397</v>
      </c>
      <c r="L24">
        <v>3.8649369079837901</v>
      </c>
      <c r="M24">
        <v>5.6514165523984197</v>
      </c>
      <c r="N24">
        <v>7.8257600175139705E-2</v>
      </c>
      <c r="O24">
        <v>7.8257600175139705E-2</v>
      </c>
      <c r="P24">
        <v>0</v>
      </c>
      <c r="Q24">
        <v>60.8</v>
      </c>
      <c r="R24">
        <v>60.8</v>
      </c>
      <c r="S24">
        <v>20</v>
      </c>
    </row>
    <row r="25" spans="1:19" x14ac:dyDescent="0.35">
      <c r="A25" t="s">
        <v>23</v>
      </c>
      <c r="B25" t="s">
        <v>24</v>
      </c>
      <c r="C25">
        <v>12.5</v>
      </c>
      <c r="D25">
        <v>0.19744</v>
      </c>
      <c r="E25">
        <v>0.80255999999999905</v>
      </c>
      <c r="F25">
        <f t="shared" si="0"/>
        <v>4.6896572423314717</v>
      </c>
      <c r="G25">
        <f t="shared" si="1"/>
        <v>1.1537155177506069</v>
      </c>
      <c r="H25">
        <v>5.0648298217179901</v>
      </c>
      <c r="I25">
        <v>1.24601275917065</v>
      </c>
      <c r="J25">
        <v>9.51635346038222</v>
      </c>
      <c r="K25">
        <v>8.8844690016635397</v>
      </c>
      <c r="L25">
        <v>3.8649369079837901</v>
      </c>
      <c r="M25">
        <v>5.6514165523984197</v>
      </c>
      <c r="N25">
        <v>7.8257600175139705E-2</v>
      </c>
      <c r="O25">
        <v>7.8257600175139705E-2</v>
      </c>
      <c r="P25">
        <v>0</v>
      </c>
      <c r="Q25">
        <v>60.8</v>
      </c>
      <c r="R25">
        <v>60.8</v>
      </c>
      <c r="S25">
        <v>20</v>
      </c>
    </row>
    <row r="26" spans="1:19" x14ac:dyDescent="0.35">
      <c r="A26" t="s">
        <v>25</v>
      </c>
      <c r="B26" t="s">
        <v>26</v>
      </c>
      <c r="C26">
        <v>7.5</v>
      </c>
      <c r="D26">
        <v>0.58860000000000001</v>
      </c>
      <c r="E26">
        <v>0.41139999999999999</v>
      </c>
      <c r="F26">
        <f t="shared" si="0"/>
        <v>1.5730987528473086</v>
      </c>
      <c r="G26">
        <f t="shared" si="1"/>
        <v>2.2506706998685608</v>
      </c>
      <c r="H26">
        <v>1.6989466530750901</v>
      </c>
      <c r="I26">
        <v>2.43072435585804</v>
      </c>
      <c r="J26">
        <v>8.6198199541583502</v>
      </c>
      <c r="K26">
        <v>8.8844690016635397</v>
      </c>
      <c r="L26">
        <v>5.2954465747308799</v>
      </c>
      <c r="M26">
        <v>3.3243733794274601</v>
      </c>
      <c r="N26">
        <v>7.8257600175139705E-2</v>
      </c>
      <c r="O26">
        <v>0.109560640245195</v>
      </c>
      <c r="P26">
        <v>1</v>
      </c>
      <c r="Q26">
        <v>19</v>
      </c>
      <c r="R26">
        <v>60.8</v>
      </c>
      <c r="S26">
        <v>20</v>
      </c>
    </row>
    <row r="27" spans="1:19" x14ac:dyDescent="0.35">
      <c r="A27" t="s">
        <v>25</v>
      </c>
      <c r="B27" t="s">
        <v>26</v>
      </c>
      <c r="C27">
        <v>8.5</v>
      </c>
      <c r="D27">
        <v>0.47316000000000003</v>
      </c>
      <c r="E27">
        <v>0.52683999999999997</v>
      </c>
      <c r="F27">
        <f t="shared" si="0"/>
        <v>1.9568981442343516</v>
      </c>
      <c r="G27">
        <f t="shared" si="1"/>
        <v>1.7575087805138674</v>
      </c>
      <c r="H27">
        <v>2.1134499957731001</v>
      </c>
      <c r="I27">
        <v>1.8981094829549701</v>
      </c>
      <c r="J27">
        <v>8.6198199541583502</v>
      </c>
      <c r="K27">
        <v>8.8844690016635397</v>
      </c>
      <c r="L27">
        <v>5.2954465747308799</v>
      </c>
      <c r="M27">
        <v>3.3243733794274601</v>
      </c>
      <c r="N27">
        <v>7.8257600175139705E-2</v>
      </c>
      <c r="O27">
        <v>0.109560640245195</v>
      </c>
      <c r="P27">
        <v>1</v>
      </c>
      <c r="Q27">
        <v>19</v>
      </c>
      <c r="R27">
        <v>60.8</v>
      </c>
      <c r="S27">
        <v>20</v>
      </c>
    </row>
    <row r="28" spans="1:19" x14ac:dyDescent="0.35">
      <c r="A28" t="s">
        <v>25</v>
      </c>
      <c r="B28" t="s">
        <v>26</v>
      </c>
      <c r="C28">
        <v>9.5</v>
      </c>
      <c r="D28">
        <v>0.36881999999999998</v>
      </c>
      <c r="E28">
        <v>0.63117999999999996</v>
      </c>
      <c r="F28">
        <f t="shared" si="0"/>
        <v>2.510508990634797</v>
      </c>
      <c r="G28">
        <f t="shared" si="1"/>
        <v>1.4669760225703063</v>
      </c>
      <c r="H28">
        <v>2.7113497098855799</v>
      </c>
      <c r="I28">
        <v>1.58433410437593</v>
      </c>
      <c r="J28">
        <v>8.6198199541583502</v>
      </c>
      <c r="K28">
        <v>8.8844690016635397</v>
      </c>
      <c r="L28">
        <v>5.2954465747308799</v>
      </c>
      <c r="M28">
        <v>3.3243733794274601</v>
      </c>
      <c r="N28">
        <v>7.8257600175139705E-2</v>
      </c>
      <c r="O28">
        <v>0.109560640245195</v>
      </c>
      <c r="P28">
        <v>1</v>
      </c>
      <c r="Q28">
        <v>19</v>
      </c>
      <c r="R28">
        <v>60.8</v>
      </c>
      <c r="S28">
        <v>20</v>
      </c>
    </row>
    <row r="29" spans="1:19" x14ac:dyDescent="0.35">
      <c r="A29" t="s">
        <v>25</v>
      </c>
      <c r="B29" t="s">
        <v>26</v>
      </c>
      <c r="C29">
        <v>10.5</v>
      </c>
      <c r="D29">
        <v>0.27617999999999998</v>
      </c>
      <c r="E29">
        <v>0.72382000000000002</v>
      </c>
      <c r="F29">
        <f t="shared" si="0"/>
        <v>3.3526175897093413</v>
      </c>
      <c r="G29">
        <f t="shared" si="1"/>
        <v>1.2792212510374483</v>
      </c>
      <c r="H29">
        <v>3.62082699688608</v>
      </c>
      <c r="I29">
        <v>1.38155895112044</v>
      </c>
      <c r="J29">
        <v>8.6198199541583502</v>
      </c>
      <c r="K29">
        <v>8.8844690016635397</v>
      </c>
      <c r="L29">
        <v>5.2954465747308799</v>
      </c>
      <c r="M29">
        <v>3.3243733794274601</v>
      </c>
      <c r="N29">
        <v>7.8257600175139705E-2</v>
      </c>
      <c r="O29">
        <v>0.109560640245195</v>
      </c>
      <c r="P29">
        <v>1</v>
      </c>
      <c r="Q29">
        <v>19</v>
      </c>
      <c r="R29">
        <v>60.8</v>
      </c>
      <c r="S29">
        <v>20</v>
      </c>
    </row>
    <row r="30" spans="1:19" x14ac:dyDescent="0.35">
      <c r="A30" t="s">
        <v>25</v>
      </c>
      <c r="B30" t="s">
        <v>26</v>
      </c>
      <c r="C30">
        <v>11.5</v>
      </c>
      <c r="D30">
        <v>0.20018</v>
      </c>
      <c r="E30">
        <v>0.79981999999999998</v>
      </c>
      <c r="F30">
        <f t="shared" si="0"/>
        <v>4.6254667095909978</v>
      </c>
      <c r="G30">
        <f t="shared" si="1"/>
        <v>1.1576678826810105</v>
      </c>
      <c r="H30">
        <v>4.9955040463582696</v>
      </c>
      <c r="I30">
        <v>1.25028131329549</v>
      </c>
      <c r="J30">
        <v>8.6198199541583502</v>
      </c>
      <c r="K30">
        <v>8.8844690016635397</v>
      </c>
      <c r="L30">
        <v>5.2954465747308799</v>
      </c>
      <c r="M30">
        <v>3.3243733794274601</v>
      </c>
      <c r="N30">
        <v>7.8257600175139705E-2</v>
      </c>
      <c r="O30">
        <v>0.109560640245195</v>
      </c>
      <c r="P30">
        <v>1</v>
      </c>
      <c r="Q30">
        <v>19</v>
      </c>
      <c r="R30">
        <v>60.8</v>
      </c>
      <c r="S30">
        <v>20</v>
      </c>
    </row>
    <row r="31" spans="1:19" x14ac:dyDescent="0.35">
      <c r="A31" t="s">
        <v>25</v>
      </c>
      <c r="B31" t="s">
        <v>26</v>
      </c>
      <c r="C31">
        <v>12.5</v>
      </c>
      <c r="D31">
        <v>0.1396</v>
      </c>
      <c r="E31">
        <v>0.86040000000000005</v>
      </c>
      <c r="F31">
        <f t="shared" si="0"/>
        <v>6.6327072057731078</v>
      </c>
      <c r="G31">
        <f t="shared" si="1"/>
        <v>1.0761575150231588</v>
      </c>
      <c r="H31">
        <v>7.1633237822349498</v>
      </c>
      <c r="I31">
        <v>1.1622501162250101</v>
      </c>
      <c r="J31">
        <v>8.6198199541583502</v>
      </c>
      <c r="K31">
        <v>8.8844690016635397</v>
      </c>
      <c r="L31">
        <v>5.2954465747308799</v>
      </c>
      <c r="M31">
        <v>3.3243733794274601</v>
      </c>
      <c r="N31">
        <v>7.8257600175139705E-2</v>
      </c>
      <c r="O31">
        <v>0.109560640245195</v>
      </c>
      <c r="P31">
        <v>1</v>
      </c>
      <c r="Q31">
        <v>19</v>
      </c>
      <c r="R31">
        <v>60.8</v>
      </c>
      <c r="S31">
        <v>20</v>
      </c>
    </row>
    <row r="32" spans="1:19" x14ac:dyDescent="0.35">
      <c r="A32" t="s">
        <v>27</v>
      </c>
      <c r="B32" t="s">
        <v>28</v>
      </c>
      <c r="C32">
        <v>7.5</v>
      </c>
      <c r="D32">
        <v>0.75634000000000001</v>
      </c>
      <c r="E32">
        <v>0.24365999999999999</v>
      </c>
      <c r="F32">
        <f t="shared" si="0"/>
        <v>1.2242191685299282</v>
      </c>
      <c r="G32">
        <f t="shared" si="1"/>
        <v>3.800073569424304</v>
      </c>
      <c r="H32">
        <v>1.3221567020123199</v>
      </c>
      <c r="I32">
        <v>4.1040794549782396</v>
      </c>
      <c r="J32">
        <v>10.2727809500518</v>
      </c>
      <c r="K32">
        <v>8.8844690016635397</v>
      </c>
      <c r="L32">
        <v>5.3045410323264601</v>
      </c>
      <c r="M32">
        <v>4.9682399177254002</v>
      </c>
      <c r="N32">
        <v>7.8257600175139705E-2</v>
      </c>
      <c r="O32">
        <v>7.8257600175139705E-2</v>
      </c>
      <c r="P32">
        <v>0</v>
      </c>
      <c r="Q32">
        <v>60.8</v>
      </c>
      <c r="R32">
        <v>60.8</v>
      </c>
      <c r="S32">
        <v>20</v>
      </c>
    </row>
    <row r="33" spans="1:19" x14ac:dyDescent="0.35">
      <c r="A33" t="s">
        <v>27</v>
      </c>
      <c r="B33" t="s">
        <v>28</v>
      </c>
      <c r="C33">
        <v>8.5</v>
      </c>
      <c r="D33">
        <v>0.65486</v>
      </c>
      <c r="E33">
        <v>0.34514</v>
      </c>
      <c r="F33">
        <f t="shared" si="0"/>
        <v>1.4139295817822526</v>
      </c>
      <c r="G33">
        <f t="shared" si="1"/>
        <v>2.68275460950897</v>
      </c>
      <c r="H33">
        <v>1.5270439483248299</v>
      </c>
      <c r="I33">
        <v>2.89737497826968</v>
      </c>
      <c r="J33">
        <v>10.2727809500518</v>
      </c>
      <c r="K33">
        <v>8.8844690016635397</v>
      </c>
      <c r="L33">
        <v>5.3045410323264601</v>
      </c>
      <c r="M33">
        <v>4.9682399177254002</v>
      </c>
      <c r="N33">
        <v>7.8257600175139705E-2</v>
      </c>
      <c r="O33">
        <v>7.8257600175139705E-2</v>
      </c>
      <c r="P33">
        <v>0</v>
      </c>
      <c r="Q33">
        <v>60.8</v>
      </c>
      <c r="R33">
        <v>60.8</v>
      </c>
      <c r="S33">
        <v>20</v>
      </c>
    </row>
    <row r="34" spans="1:19" x14ac:dyDescent="0.35">
      <c r="A34" t="s">
        <v>27</v>
      </c>
      <c r="B34" t="s">
        <v>28</v>
      </c>
      <c r="C34">
        <v>9.5</v>
      </c>
      <c r="D34">
        <v>0.55062</v>
      </c>
      <c r="E34">
        <v>0.44938</v>
      </c>
      <c r="F34">
        <f t="shared" si="0"/>
        <v>1.6816060548580254</v>
      </c>
      <c r="G34">
        <f t="shared" si="1"/>
        <v>2.0604520137209619</v>
      </c>
      <c r="H34">
        <v>1.8161345392466599</v>
      </c>
      <c r="I34">
        <v>2.2252881748186302</v>
      </c>
      <c r="J34">
        <v>10.2727809500518</v>
      </c>
      <c r="K34">
        <v>8.8844690016635397</v>
      </c>
      <c r="L34">
        <v>5.3045410323264601</v>
      </c>
      <c r="M34">
        <v>4.9682399177254002</v>
      </c>
      <c r="N34">
        <v>7.8257600175139705E-2</v>
      </c>
      <c r="O34">
        <v>7.8257600175139705E-2</v>
      </c>
      <c r="P34">
        <v>0</v>
      </c>
      <c r="Q34">
        <v>60.8</v>
      </c>
      <c r="R34">
        <v>60.8</v>
      </c>
      <c r="S34">
        <v>20</v>
      </c>
    </row>
    <row r="35" spans="1:19" x14ac:dyDescent="0.35">
      <c r="A35" t="s">
        <v>27</v>
      </c>
      <c r="B35" t="s">
        <v>28</v>
      </c>
      <c r="C35">
        <v>10.5</v>
      </c>
      <c r="D35">
        <v>0.44428000000000001</v>
      </c>
      <c r="E35">
        <v>0.55571999999999999</v>
      </c>
      <c r="F35">
        <f t="shared" si="0"/>
        <v>2.0841044519805658</v>
      </c>
      <c r="G35">
        <f t="shared" si="1"/>
        <v>1.6661734793167891</v>
      </c>
      <c r="H35">
        <v>2.2508328081390099</v>
      </c>
      <c r="I35">
        <v>1.7994673576621301</v>
      </c>
      <c r="J35">
        <v>10.2727809500518</v>
      </c>
      <c r="K35">
        <v>8.8844690016635397</v>
      </c>
      <c r="L35">
        <v>5.3045410323264601</v>
      </c>
      <c r="M35">
        <v>4.9682399177254002</v>
      </c>
      <c r="N35">
        <v>7.8257600175139705E-2</v>
      </c>
      <c r="O35">
        <v>7.8257600175139705E-2</v>
      </c>
      <c r="P35">
        <v>0</v>
      </c>
      <c r="Q35">
        <v>60.8</v>
      </c>
      <c r="R35">
        <v>60.8</v>
      </c>
      <c r="S35">
        <v>20</v>
      </c>
    </row>
    <row r="36" spans="1:19" x14ac:dyDescent="0.35">
      <c r="A36" t="s">
        <v>27</v>
      </c>
      <c r="B36" t="s">
        <v>28</v>
      </c>
      <c r="C36">
        <v>11.5</v>
      </c>
      <c r="D36">
        <v>0.34410000000000002</v>
      </c>
      <c r="E36">
        <v>0.65589999999999904</v>
      </c>
      <c r="F36">
        <f t="shared" si="0"/>
        <v>2.6908629059166689</v>
      </c>
      <c r="G36">
        <f t="shared" si="1"/>
        <v>1.4116876443450637</v>
      </c>
      <c r="H36">
        <v>2.9061319383900002</v>
      </c>
      <c r="I36">
        <v>1.5246226558926601</v>
      </c>
      <c r="J36">
        <v>10.2727809500518</v>
      </c>
      <c r="K36">
        <v>8.8844690016635397</v>
      </c>
      <c r="L36">
        <v>5.3045410323264601</v>
      </c>
      <c r="M36">
        <v>4.9682399177254002</v>
      </c>
      <c r="N36">
        <v>7.8257600175139705E-2</v>
      </c>
      <c r="O36">
        <v>7.8257600175139705E-2</v>
      </c>
      <c r="P36">
        <v>0</v>
      </c>
      <c r="Q36">
        <v>60.8</v>
      </c>
      <c r="R36">
        <v>60.8</v>
      </c>
      <c r="S36">
        <v>20</v>
      </c>
    </row>
    <row r="37" spans="1:19" x14ac:dyDescent="0.35">
      <c r="A37" t="s">
        <v>27</v>
      </c>
      <c r="B37" t="s">
        <v>28</v>
      </c>
      <c r="C37">
        <v>12.5</v>
      </c>
      <c r="D37">
        <v>0.25890000000000002</v>
      </c>
      <c r="E37">
        <v>0.74109999999999998</v>
      </c>
      <c r="F37">
        <f t="shared" si="0"/>
        <v>3.5763844184083657</v>
      </c>
      <c r="G37">
        <f t="shared" si="1"/>
        <v>1.2493940438887139</v>
      </c>
      <c r="H37">
        <v>3.8624951718810299</v>
      </c>
      <c r="I37">
        <v>1.34934556739981</v>
      </c>
      <c r="J37">
        <v>10.2727809500518</v>
      </c>
      <c r="K37">
        <v>8.8844690016635397</v>
      </c>
      <c r="L37">
        <v>5.3045410323264601</v>
      </c>
      <c r="M37">
        <v>4.9682399177254002</v>
      </c>
      <c r="N37">
        <v>7.8257600175139705E-2</v>
      </c>
      <c r="O37">
        <v>7.8257600175139705E-2</v>
      </c>
      <c r="P37">
        <v>0</v>
      </c>
      <c r="Q37">
        <v>60.8</v>
      </c>
      <c r="R37">
        <v>60.8</v>
      </c>
      <c r="S37">
        <v>20</v>
      </c>
    </row>
    <row r="38" spans="1:19" x14ac:dyDescent="0.35">
      <c r="A38" t="s">
        <v>29</v>
      </c>
      <c r="B38" t="s">
        <v>30</v>
      </c>
      <c r="C38">
        <v>7.5</v>
      </c>
      <c r="D38">
        <v>0.77902000000000005</v>
      </c>
      <c r="E38">
        <v>0.22097999999999901</v>
      </c>
      <c r="F38">
        <f t="shared" si="0"/>
        <v>1.1885778618340039</v>
      </c>
      <c r="G38">
        <f t="shared" si="1"/>
        <v>4.1900892656617339</v>
      </c>
      <c r="H38">
        <v>1.28366409078072</v>
      </c>
      <c r="I38">
        <v>4.5252964069146504</v>
      </c>
      <c r="J38">
        <v>10.6120667661943</v>
      </c>
      <c r="K38">
        <v>8.8844690016635397</v>
      </c>
      <c r="L38">
        <v>6.4797982731561996</v>
      </c>
      <c r="M38">
        <v>4.1322684930381</v>
      </c>
      <c r="N38">
        <v>7.8257600175139705E-2</v>
      </c>
      <c r="O38">
        <v>7.8257600175139705E-2</v>
      </c>
      <c r="P38">
        <v>0</v>
      </c>
      <c r="Q38">
        <v>60.8</v>
      </c>
      <c r="R38">
        <v>60.8</v>
      </c>
      <c r="S38">
        <v>20</v>
      </c>
    </row>
    <row r="39" spans="1:19" x14ac:dyDescent="0.35">
      <c r="A39" t="s">
        <v>29</v>
      </c>
      <c r="B39" t="s">
        <v>30</v>
      </c>
      <c r="C39">
        <v>8.5</v>
      </c>
      <c r="D39">
        <v>0.68644000000000005</v>
      </c>
      <c r="E39">
        <v>0.31355999999999901</v>
      </c>
      <c r="F39">
        <f t="shared" si="0"/>
        <v>1.3488810761696954</v>
      </c>
      <c r="G39">
        <f t="shared" si="1"/>
        <v>2.9529465682036253</v>
      </c>
      <c r="H39">
        <v>1.4567915622632699</v>
      </c>
      <c r="I39">
        <v>3.1891822936599001</v>
      </c>
      <c r="J39">
        <v>10.6120667661943</v>
      </c>
      <c r="K39">
        <v>8.8844690016635397</v>
      </c>
      <c r="L39">
        <v>6.4797982731561996</v>
      </c>
      <c r="M39">
        <v>4.1322684930381</v>
      </c>
      <c r="N39">
        <v>7.8257600175139705E-2</v>
      </c>
      <c r="O39">
        <v>7.8257600175139705E-2</v>
      </c>
      <c r="P39">
        <v>0</v>
      </c>
      <c r="Q39">
        <v>60.8</v>
      </c>
      <c r="R39">
        <v>60.8</v>
      </c>
      <c r="S39">
        <v>20</v>
      </c>
    </row>
    <row r="40" spans="1:19" x14ac:dyDescent="0.35">
      <c r="A40" t="s">
        <v>29</v>
      </c>
      <c r="B40" t="s">
        <v>30</v>
      </c>
      <c r="C40">
        <v>9.5</v>
      </c>
      <c r="D40">
        <v>0.58464000000000005</v>
      </c>
      <c r="E40">
        <v>0.41535999999999901</v>
      </c>
      <c r="F40">
        <f t="shared" si="0"/>
        <v>1.5837539783899937</v>
      </c>
      <c r="G40">
        <f t="shared" si="1"/>
        <v>2.2292130342977852</v>
      </c>
      <c r="H40">
        <v>1.71045429666119</v>
      </c>
      <c r="I40">
        <v>2.4075500770415998</v>
      </c>
      <c r="J40">
        <v>10.6120667661943</v>
      </c>
      <c r="K40">
        <v>8.8844690016635397</v>
      </c>
      <c r="L40">
        <v>6.4797982731561996</v>
      </c>
      <c r="M40">
        <v>4.1322684930381</v>
      </c>
      <c r="N40">
        <v>7.8257600175139705E-2</v>
      </c>
      <c r="O40">
        <v>7.8257600175139705E-2</v>
      </c>
      <c r="P40">
        <v>0</v>
      </c>
      <c r="Q40">
        <v>60.8</v>
      </c>
      <c r="R40">
        <v>60.8</v>
      </c>
      <c r="S40">
        <v>20</v>
      </c>
    </row>
    <row r="41" spans="1:19" x14ac:dyDescent="0.35">
      <c r="A41" t="s">
        <v>29</v>
      </c>
      <c r="B41" t="s">
        <v>30</v>
      </c>
      <c r="C41">
        <v>10.5</v>
      </c>
      <c r="D41">
        <v>0.47970000000000002</v>
      </c>
      <c r="E41">
        <v>0.52029999999999998</v>
      </c>
      <c r="F41">
        <f t="shared" si="0"/>
        <v>1.9302187323867537</v>
      </c>
      <c r="G41">
        <f t="shared" si="1"/>
        <v>1.7796000882681644</v>
      </c>
      <c r="H41">
        <v>2.08463623097769</v>
      </c>
      <c r="I41">
        <v>1.9219680953296101</v>
      </c>
      <c r="J41">
        <v>10.6120667661943</v>
      </c>
      <c r="K41">
        <v>8.8844690016635397</v>
      </c>
      <c r="L41">
        <v>6.4797982731561996</v>
      </c>
      <c r="M41">
        <v>4.1322684930381</v>
      </c>
      <c r="N41">
        <v>7.8257600175139705E-2</v>
      </c>
      <c r="O41">
        <v>7.8257600175139705E-2</v>
      </c>
      <c r="P41">
        <v>0</v>
      </c>
      <c r="Q41">
        <v>60.8</v>
      </c>
      <c r="R41">
        <v>60.8</v>
      </c>
      <c r="S41">
        <v>20</v>
      </c>
    </row>
    <row r="42" spans="1:19" x14ac:dyDescent="0.35">
      <c r="A42" t="s">
        <v>29</v>
      </c>
      <c r="B42" t="s">
        <v>30</v>
      </c>
      <c r="C42">
        <v>11.5</v>
      </c>
      <c r="D42">
        <v>0.38163999999999998</v>
      </c>
      <c r="E42">
        <v>0.61836000000000002</v>
      </c>
      <c r="F42">
        <f t="shared" si="0"/>
        <v>2.4261763073208416</v>
      </c>
      <c r="G42">
        <f t="shared" si="1"/>
        <v>1.4973897501874729</v>
      </c>
      <c r="H42">
        <v>2.6202704119065001</v>
      </c>
      <c r="I42">
        <v>1.61718093020247</v>
      </c>
      <c r="J42">
        <v>10.6120667661943</v>
      </c>
      <c r="K42">
        <v>8.8844690016635397</v>
      </c>
      <c r="L42">
        <v>6.4797982731561996</v>
      </c>
      <c r="M42">
        <v>4.1322684930381</v>
      </c>
      <c r="N42">
        <v>7.8257600175139705E-2</v>
      </c>
      <c r="O42">
        <v>7.8257600175139705E-2</v>
      </c>
      <c r="P42">
        <v>0</v>
      </c>
      <c r="Q42">
        <v>60.8</v>
      </c>
      <c r="R42">
        <v>60.8</v>
      </c>
      <c r="S42">
        <v>20</v>
      </c>
    </row>
    <row r="43" spans="1:19" x14ac:dyDescent="0.35">
      <c r="A43" t="s">
        <v>29</v>
      </c>
      <c r="B43" t="s">
        <v>30</v>
      </c>
      <c r="C43">
        <v>12.5</v>
      </c>
      <c r="D43">
        <v>0.29243999999999998</v>
      </c>
      <c r="E43">
        <v>0.70755999999999997</v>
      </c>
      <c r="F43">
        <f t="shared" si="0"/>
        <v>3.1662081997193474</v>
      </c>
      <c r="G43">
        <f t="shared" si="1"/>
        <v>1.3086182456977866</v>
      </c>
      <c r="H43">
        <v>3.4195048556968901</v>
      </c>
      <c r="I43">
        <v>1.4133077053536001</v>
      </c>
      <c r="J43">
        <v>10.6120667661943</v>
      </c>
      <c r="K43">
        <v>8.8844690016635397</v>
      </c>
      <c r="L43">
        <v>6.4797982731561996</v>
      </c>
      <c r="M43">
        <v>4.1322684930381</v>
      </c>
      <c r="N43">
        <v>7.8257600175139705E-2</v>
      </c>
      <c r="O43">
        <v>7.8257600175139705E-2</v>
      </c>
      <c r="P43">
        <v>0</v>
      </c>
      <c r="Q43">
        <v>60.8</v>
      </c>
      <c r="R43">
        <v>60.8</v>
      </c>
      <c r="S43">
        <v>20</v>
      </c>
    </row>
    <row r="44" spans="1:19" x14ac:dyDescent="0.35">
      <c r="A44" t="s">
        <v>31</v>
      </c>
      <c r="B44" t="s">
        <v>32</v>
      </c>
      <c r="C44">
        <v>7.5</v>
      </c>
      <c r="D44">
        <v>0.71526000000000001</v>
      </c>
      <c r="E44">
        <v>0.28473999999999999</v>
      </c>
      <c r="F44">
        <f t="shared" si="0"/>
        <v>1.2945305566170704</v>
      </c>
      <c r="G44">
        <f t="shared" si="1"/>
        <v>3.2518294792650346</v>
      </c>
      <c r="H44">
        <v>1.3980930011464301</v>
      </c>
      <c r="I44">
        <v>3.5119758376062302</v>
      </c>
      <c r="J44">
        <v>9.9387915900707995</v>
      </c>
      <c r="K44">
        <v>8.8844690016635397</v>
      </c>
      <c r="L44">
        <v>6.2103683351040404</v>
      </c>
      <c r="M44">
        <v>3.7284232549667502</v>
      </c>
      <c r="N44">
        <v>7.8257600175139705E-2</v>
      </c>
      <c r="O44">
        <v>0.109560640245195</v>
      </c>
      <c r="P44">
        <v>1</v>
      </c>
      <c r="Q44">
        <v>60.8</v>
      </c>
      <c r="R44">
        <v>19</v>
      </c>
      <c r="S44">
        <v>20</v>
      </c>
    </row>
    <row r="45" spans="1:19" x14ac:dyDescent="0.35">
      <c r="A45" t="s">
        <v>31</v>
      </c>
      <c r="B45" t="s">
        <v>32</v>
      </c>
      <c r="C45">
        <v>8.5</v>
      </c>
      <c r="D45">
        <v>0.61480000000000001</v>
      </c>
      <c r="E45">
        <v>0.38519999999999999</v>
      </c>
      <c r="F45">
        <f t="shared" si="0"/>
        <v>1.5060603869972771</v>
      </c>
      <c r="G45">
        <f t="shared" si="1"/>
        <v>2.4037537017807007</v>
      </c>
      <c r="H45">
        <v>1.6265452179570501</v>
      </c>
      <c r="I45">
        <v>2.5960539979231498</v>
      </c>
      <c r="J45">
        <v>9.9387915900707995</v>
      </c>
      <c r="K45">
        <v>8.8844690016635397</v>
      </c>
      <c r="L45">
        <v>6.2103683351040404</v>
      </c>
      <c r="M45">
        <v>3.7284232549667502</v>
      </c>
      <c r="N45">
        <v>7.8257600175139705E-2</v>
      </c>
      <c r="O45">
        <v>0.109560640245195</v>
      </c>
      <c r="P45">
        <v>1</v>
      </c>
      <c r="Q45">
        <v>60.8</v>
      </c>
      <c r="R45">
        <v>19</v>
      </c>
      <c r="S45">
        <v>20</v>
      </c>
    </row>
    <row r="46" spans="1:19" x14ac:dyDescent="0.35">
      <c r="A46" t="s">
        <v>31</v>
      </c>
      <c r="B46" t="s">
        <v>32</v>
      </c>
      <c r="C46">
        <v>9.5</v>
      </c>
      <c r="D46">
        <v>0.50949999999999995</v>
      </c>
      <c r="E46">
        <v>0.49049999999999999</v>
      </c>
      <c r="F46">
        <f t="shared" si="0"/>
        <v>1.8173227201686477</v>
      </c>
      <c r="G46">
        <f t="shared" si="1"/>
        <v>1.8877185034167705</v>
      </c>
      <c r="H46">
        <v>1.9627085377821301</v>
      </c>
      <c r="I46">
        <v>2.0387359836901102</v>
      </c>
      <c r="J46">
        <v>9.9387915900707995</v>
      </c>
      <c r="K46">
        <v>8.8844690016635397</v>
      </c>
      <c r="L46">
        <v>6.2103683351040404</v>
      </c>
      <c r="M46">
        <v>3.7284232549667502</v>
      </c>
      <c r="N46">
        <v>7.8257600175139705E-2</v>
      </c>
      <c r="O46">
        <v>0.109560640245195</v>
      </c>
      <c r="P46">
        <v>1</v>
      </c>
      <c r="Q46">
        <v>60.8</v>
      </c>
      <c r="R46">
        <v>19</v>
      </c>
      <c r="S46">
        <v>20</v>
      </c>
    </row>
    <row r="47" spans="1:19" x14ac:dyDescent="0.35">
      <c r="A47" t="s">
        <v>31</v>
      </c>
      <c r="B47" t="s">
        <v>32</v>
      </c>
      <c r="C47">
        <v>10.5</v>
      </c>
      <c r="D47">
        <v>0.41036</v>
      </c>
      <c r="E47">
        <v>0.58963999999999905</v>
      </c>
      <c r="F47">
        <f t="shared" si="0"/>
        <v>2.256374709830212</v>
      </c>
      <c r="G47">
        <f t="shared" si="1"/>
        <v>1.5703241400276904</v>
      </c>
      <c r="H47">
        <v>2.4368846866166201</v>
      </c>
      <c r="I47">
        <v>1.6959500712299</v>
      </c>
      <c r="J47">
        <v>9.9387915900707995</v>
      </c>
      <c r="K47">
        <v>8.8844690016635397</v>
      </c>
      <c r="L47">
        <v>6.2103683351040404</v>
      </c>
      <c r="M47">
        <v>3.7284232549667502</v>
      </c>
      <c r="N47">
        <v>7.8257600175139705E-2</v>
      </c>
      <c r="O47">
        <v>0.109560640245195</v>
      </c>
      <c r="P47">
        <v>1</v>
      </c>
      <c r="Q47">
        <v>60.8</v>
      </c>
      <c r="R47">
        <v>19</v>
      </c>
      <c r="S47">
        <v>20</v>
      </c>
    </row>
    <row r="48" spans="1:19" x14ac:dyDescent="0.35">
      <c r="A48" t="s">
        <v>31</v>
      </c>
      <c r="B48" t="s">
        <v>32</v>
      </c>
      <c r="C48">
        <v>11.5</v>
      </c>
      <c r="D48">
        <v>0.31922</v>
      </c>
      <c r="E48">
        <v>0.68077999999999905</v>
      </c>
      <c r="F48">
        <f t="shared" si="0"/>
        <v>2.9005887034832587</v>
      </c>
      <c r="G48">
        <f t="shared" si="1"/>
        <v>1.360095663688603</v>
      </c>
      <c r="H48">
        <v>3.1326357997619199</v>
      </c>
      <c r="I48">
        <v>1.46890331678368</v>
      </c>
      <c r="J48">
        <v>9.9387915900707995</v>
      </c>
      <c r="K48">
        <v>8.8844690016635397</v>
      </c>
      <c r="L48">
        <v>6.2103683351040404</v>
      </c>
      <c r="M48">
        <v>3.7284232549667502</v>
      </c>
      <c r="N48">
        <v>7.8257600175139705E-2</v>
      </c>
      <c r="O48">
        <v>0.109560640245195</v>
      </c>
      <c r="P48">
        <v>1</v>
      </c>
      <c r="Q48">
        <v>60.8</v>
      </c>
      <c r="R48">
        <v>19</v>
      </c>
      <c r="S48">
        <v>20</v>
      </c>
    </row>
    <row r="49" spans="1:19" x14ac:dyDescent="0.35">
      <c r="A49" t="s">
        <v>31</v>
      </c>
      <c r="B49" t="s">
        <v>32</v>
      </c>
      <c r="C49">
        <v>12.5</v>
      </c>
      <c r="D49">
        <v>0.24060000000000001</v>
      </c>
      <c r="E49">
        <v>0.75939999999999996</v>
      </c>
      <c r="F49">
        <f t="shared" si="0"/>
        <v>3.8484036821526426</v>
      </c>
      <c r="G49">
        <f t="shared" si="1"/>
        <v>1.2192861810981379</v>
      </c>
      <c r="H49">
        <v>4.1562759767248503</v>
      </c>
      <c r="I49">
        <v>1.3168290755859799</v>
      </c>
      <c r="J49">
        <v>9.9387915900707995</v>
      </c>
      <c r="K49">
        <v>8.8844690016635397</v>
      </c>
      <c r="L49">
        <v>6.2103683351040404</v>
      </c>
      <c r="M49">
        <v>3.7284232549667502</v>
      </c>
      <c r="N49">
        <v>7.8257600175139705E-2</v>
      </c>
      <c r="O49">
        <v>0.109560640245195</v>
      </c>
      <c r="P49">
        <v>1</v>
      </c>
      <c r="Q49">
        <v>60.8</v>
      </c>
      <c r="R49">
        <v>19</v>
      </c>
      <c r="S49">
        <v>20</v>
      </c>
    </row>
    <row r="50" spans="1:19" x14ac:dyDescent="0.35">
      <c r="A50" t="s">
        <v>33</v>
      </c>
      <c r="B50" t="s">
        <v>34</v>
      </c>
      <c r="C50">
        <v>7.5</v>
      </c>
      <c r="D50">
        <v>0.73606000000000005</v>
      </c>
      <c r="E50">
        <v>0.26393999999999901</v>
      </c>
      <c r="F50">
        <f t="shared" si="0"/>
        <v>1.2579489796021055</v>
      </c>
      <c r="G50">
        <f t="shared" si="1"/>
        <v>3.5080924677045138</v>
      </c>
      <c r="H50">
        <v>1.3585848979702699</v>
      </c>
      <c r="I50">
        <v>3.7887398651208599</v>
      </c>
      <c r="J50">
        <v>10.020238235616899</v>
      </c>
      <c r="K50">
        <v>8.8844690016635397</v>
      </c>
      <c r="L50">
        <v>4.4707199054526896</v>
      </c>
      <c r="M50">
        <v>5.5495183301642204</v>
      </c>
      <c r="N50">
        <v>7.8257600175139705E-2</v>
      </c>
      <c r="O50">
        <v>7.8257600175139705E-2</v>
      </c>
      <c r="P50">
        <v>0</v>
      </c>
      <c r="Q50">
        <v>60.8</v>
      </c>
      <c r="R50">
        <v>60.8</v>
      </c>
      <c r="S50">
        <v>20</v>
      </c>
    </row>
    <row r="51" spans="1:19" x14ac:dyDescent="0.35">
      <c r="A51" t="s">
        <v>33</v>
      </c>
      <c r="B51" t="s">
        <v>34</v>
      </c>
      <c r="C51">
        <v>8.5</v>
      </c>
      <c r="D51">
        <v>0.63234000000000001</v>
      </c>
      <c r="E51">
        <v>0.36765999999999999</v>
      </c>
      <c r="F51">
        <f t="shared" si="0"/>
        <v>1.4642849193881864</v>
      </c>
      <c r="G51">
        <f t="shared" si="1"/>
        <v>2.5184298697871021</v>
      </c>
      <c r="H51">
        <v>1.58142771293924</v>
      </c>
      <c r="I51">
        <v>2.71990425937007</v>
      </c>
      <c r="J51">
        <v>10.020238235616899</v>
      </c>
      <c r="K51">
        <v>8.8844690016635397</v>
      </c>
      <c r="L51">
        <v>4.4707199054526896</v>
      </c>
      <c r="M51">
        <v>5.5495183301642204</v>
      </c>
      <c r="N51">
        <v>7.8257600175139705E-2</v>
      </c>
      <c r="O51">
        <v>7.8257600175139705E-2</v>
      </c>
      <c r="P51">
        <v>0</v>
      </c>
      <c r="Q51">
        <v>60.8</v>
      </c>
      <c r="R51">
        <v>60.8</v>
      </c>
      <c r="S51">
        <v>20</v>
      </c>
    </row>
    <row r="52" spans="1:19" x14ac:dyDescent="0.35">
      <c r="A52" t="s">
        <v>33</v>
      </c>
      <c r="B52" t="s">
        <v>34</v>
      </c>
      <c r="C52">
        <v>9.5</v>
      </c>
      <c r="D52">
        <v>0.52466000000000002</v>
      </c>
      <c r="E52">
        <v>0.47533999999999998</v>
      </c>
      <c r="F52">
        <f t="shared" si="0"/>
        <v>1.7648113557845573</v>
      </c>
      <c r="G52">
        <f t="shared" si="1"/>
        <v>1.9479234357006057</v>
      </c>
      <c r="H52">
        <v>1.90599626424732</v>
      </c>
      <c r="I52">
        <v>2.1037573105566501</v>
      </c>
      <c r="J52">
        <v>10.020238235616899</v>
      </c>
      <c r="K52">
        <v>8.8844690016635397</v>
      </c>
      <c r="L52">
        <v>4.4707199054526896</v>
      </c>
      <c r="M52">
        <v>5.5495183301642204</v>
      </c>
      <c r="N52">
        <v>7.8257600175139705E-2</v>
      </c>
      <c r="O52">
        <v>7.8257600175139705E-2</v>
      </c>
      <c r="P52">
        <v>0</v>
      </c>
      <c r="Q52">
        <v>60.8</v>
      </c>
      <c r="R52">
        <v>60.8</v>
      </c>
      <c r="S52">
        <v>20</v>
      </c>
    </row>
    <row r="53" spans="1:19" x14ac:dyDescent="0.35">
      <c r="A53" t="s">
        <v>33</v>
      </c>
      <c r="B53" t="s">
        <v>34</v>
      </c>
      <c r="C53">
        <v>10.5</v>
      </c>
      <c r="D53">
        <v>0.41908000000000001</v>
      </c>
      <c r="E53">
        <v>0.58091999999999999</v>
      </c>
      <c r="F53">
        <f t="shared" si="0"/>
        <v>2.209425231282633</v>
      </c>
      <c r="G53">
        <f t="shared" si="1"/>
        <v>1.5938957617674137</v>
      </c>
      <c r="H53">
        <v>2.3861792497852399</v>
      </c>
      <c r="I53">
        <v>1.7214074227088001</v>
      </c>
      <c r="J53">
        <v>10.020238235616899</v>
      </c>
      <c r="K53">
        <v>8.8844690016635397</v>
      </c>
      <c r="L53">
        <v>4.4707199054526896</v>
      </c>
      <c r="M53">
        <v>5.5495183301642204</v>
      </c>
      <c r="N53">
        <v>7.8257600175139705E-2</v>
      </c>
      <c r="O53">
        <v>7.8257600175139705E-2</v>
      </c>
      <c r="P53">
        <v>0</v>
      </c>
      <c r="Q53">
        <v>60.8</v>
      </c>
      <c r="R53">
        <v>60.8</v>
      </c>
      <c r="S53">
        <v>20</v>
      </c>
    </row>
    <row r="54" spans="1:19" x14ac:dyDescent="0.35">
      <c r="A54" t="s">
        <v>33</v>
      </c>
      <c r="B54" t="s">
        <v>34</v>
      </c>
      <c r="C54">
        <v>11.5</v>
      </c>
      <c r="D54">
        <v>0.31979999999999997</v>
      </c>
      <c r="E54">
        <v>0.68020000000000003</v>
      </c>
      <c r="F54">
        <f t="shared" si="0"/>
        <v>2.8953280985801313</v>
      </c>
      <c r="G54">
        <f t="shared" si="1"/>
        <v>1.3612554041839546</v>
      </c>
      <c r="H54">
        <v>3.1269543464665399</v>
      </c>
      <c r="I54">
        <v>1.47015583651867</v>
      </c>
      <c r="J54">
        <v>10.020238235616899</v>
      </c>
      <c r="K54">
        <v>8.8844690016635397</v>
      </c>
      <c r="L54">
        <v>4.4707199054526896</v>
      </c>
      <c r="M54">
        <v>5.5495183301642204</v>
      </c>
      <c r="N54">
        <v>7.8257600175139705E-2</v>
      </c>
      <c r="O54">
        <v>7.8257600175139705E-2</v>
      </c>
      <c r="P54">
        <v>0</v>
      </c>
      <c r="Q54">
        <v>60.8</v>
      </c>
      <c r="R54">
        <v>60.8</v>
      </c>
      <c r="S54">
        <v>20</v>
      </c>
    </row>
    <row r="55" spans="1:19" x14ac:dyDescent="0.35">
      <c r="A55" t="s">
        <v>33</v>
      </c>
      <c r="B55" t="s">
        <v>34</v>
      </c>
      <c r="C55">
        <v>12.5</v>
      </c>
      <c r="D55">
        <v>0.23676</v>
      </c>
      <c r="E55">
        <v>0.76324000000000003</v>
      </c>
      <c r="F55">
        <f t="shared" si="0"/>
        <v>3.9108207717770145</v>
      </c>
      <c r="G55">
        <f t="shared" si="1"/>
        <v>1.2131517293720531</v>
      </c>
      <c r="H55">
        <v>4.2236864335191697</v>
      </c>
      <c r="I55">
        <v>1.31020386772181</v>
      </c>
      <c r="J55">
        <v>10.020238235616899</v>
      </c>
      <c r="K55">
        <v>8.8844690016635397</v>
      </c>
      <c r="L55">
        <v>4.4707199054526896</v>
      </c>
      <c r="M55">
        <v>5.5495183301642204</v>
      </c>
      <c r="N55">
        <v>7.8257600175139705E-2</v>
      </c>
      <c r="O55">
        <v>7.8257600175139705E-2</v>
      </c>
      <c r="P55">
        <v>0</v>
      </c>
      <c r="Q55">
        <v>60.8</v>
      </c>
      <c r="R55">
        <v>60.8</v>
      </c>
      <c r="S55">
        <v>20</v>
      </c>
    </row>
    <row r="56" spans="1:19" x14ac:dyDescent="0.35">
      <c r="A56" t="s">
        <v>35</v>
      </c>
      <c r="B56" t="s">
        <v>36</v>
      </c>
      <c r="C56">
        <v>7.5</v>
      </c>
      <c r="D56">
        <v>0.68378000000000005</v>
      </c>
      <c r="E56">
        <v>0.316219999999999</v>
      </c>
      <c r="F56">
        <f t="shared" si="0"/>
        <v>1.3541284125390123</v>
      </c>
      <c r="G56">
        <f t="shared" si="1"/>
        <v>2.9281067798555718</v>
      </c>
      <c r="H56">
        <v>1.46245868554213</v>
      </c>
      <c r="I56">
        <v>3.1623553222440002</v>
      </c>
      <c r="J56">
        <v>9.4499644149132696</v>
      </c>
      <c r="K56">
        <v>8.8844690016635397</v>
      </c>
      <c r="L56">
        <v>5.7745412574269599</v>
      </c>
      <c r="M56">
        <v>3.6754231574862999</v>
      </c>
      <c r="N56">
        <v>7.8257600175139705E-2</v>
      </c>
      <c r="O56">
        <v>7.8257600175139705E-2</v>
      </c>
      <c r="P56">
        <v>0</v>
      </c>
      <c r="Q56">
        <v>60.8</v>
      </c>
      <c r="R56">
        <v>60.8</v>
      </c>
      <c r="S56">
        <v>20</v>
      </c>
    </row>
    <row r="57" spans="1:19" x14ac:dyDescent="0.35">
      <c r="A57" t="s">
        <v>35</v>
      </c>
      <c r="B57" t="s">
        <v>36</v>
      </c>
      <c r="C57">
        <v>8.5</v>
      </c>
      <c r="D57">
        <v>0.57242000000000004</v>
      </c>
      <c r="E57">
        <v>0.42757999999999902</v>
      </c>
      <c r="F57">
        <f t="shared" si="0"/>
        <v>1.6175638970090596</v>
      </c>
      <c r="G57">
        <f t="shared" si="1"/>
        <v>2.1655033582626126</v>
      </c>
      <c r="H57">
        <v>1.74696900876978</v>
      </c>
      <c r="I57">
        <v>2.3387436269236099</v>
      </c>
      <c r="J57">
        <v>9.4499644149132696</v>
      </c>
      <c r="K57">
        <v>8.8844690016635397</v>
      </c>
      <c r="L57">
        <v>5.7745412574269599</v>
      </c>
      <c r="M57">
        <v>3.6754231574862999</v>
      </c>
      <c r="N57">
        <v>7.8257600175139705E-2</v>
      </c>
      <c r="O57">
        <v>7.8257600175139705E-2</v>
      </c>
      <c r="P57">
        <v>0</v>
      </c>
      <c r="Q57">
        <v>60.8</v>
      </c>
      <c r="R57">
        <v>60.8</v>
      </c>
      <c r="S57">
        <v>20</v>
      </c>
    </row>
    <row r="58" spans="1:19" x14ac:dyDescent="0.35">
      <c r="A58" t="s">
        <v>35</v>
      </c>
      <c r="B58" t="s">
        <v>36</v>
      </c>
      <c r="C58">
        <v>9.5</v>
      </c>
      <c r="D58">
        <v>0.46314</v>
      </c>
      <c r="E58">
        <v>0.53686</v>
      </c>
      <c r="F58">
        <f t="shared" si="0"/>
        <v>1.999235492347726</v>
      </c>
      <c r="G58">
        <f t="shared" si="1"/>
        <v>1.7247064894496253</v>
      </c>
      <c r="H58">
        <v>2.1591743317355401</v>
      </c>
      <c r="I58">
        <v>1.8626830086055901</v>
      </c>
      <c r="J58">
        <v>9.4499644149132696</v>
      </c>
      <c r="K58">
        <v>8.8844690016635397</v>
      </c>
      <c r="L58">
        <v>5.7745412574269599</v>
      </c>
      <c r="M58">
        <v>3.6754231574862999</v>
      </c>
      <c r="N58">
        <v>7.8257600175139705E-2</v>
      </c>
      <c r="O58">
        <v>7.8257600175139705E-2</v>
      </c>
      <c r="P58">
        <v>0</v>
      </c>
      <c r="Q58">
        <v>60.8</v>
      </c>
      <c r="R58">
        <v>60.8</v>
      </c>
      <c r="S58">
        <v>20</v>
      </c>
    </row>
    <row r="59" spans="1:19" x14ac:dyDescent="0.35">
      <c r="A59" t="s">
        <v>35</v>
      </c>
      <c r="B59" t="s">
        <v>36</v>
      </c>
      <c r="C59">
        <v>10.5</v>
      </c>
      <c r="D59">
        <v>0.35771999999999998</v>
      </c>
      <c r="E59">
        <v>0.64227999999999996</v>
      </c>
      <c r="F59">
        <f t="shared" si="0"/>
        <v>2.5884097224810634</v>
      </c>
      <c r="G59">
        <f t="shared" si="1"/>
        <v>1.4416234756273369</v>
      </c>
      <c r="H59">
        <v>2.7954825002795398</v>
      </c>
      <c r="I59">
        <v>1.55695335367752</v>
      </c>
      <c r="J59">
        <v>9.4499644149132696</v>
      </c>
      <c r="K59">
        <v>8.8844690016635397</v>
      </c>
      <c r="L59">
        <v>5.7745412574269599</v>
      </c>
      <c r="M59">
        <v>3.6754231574862999</v>
      </c>
      <c r="N59">
        <v>7.8257600175139705E-2</v>
      </c>
      <c r="O59">
        <v>7.8257600175139705E-2</v>
      </c>
      <c r="P59">
        <v>0</v>
      </c>
      <c r="Q59">
        <v>60.8</v>
      </c>
      <c r="R59">
        <v>60.8</v>
      </c>
      <c r="S59">
        <v>20</v>
      </c>
    </row>
    <row r="60" spans="1:19" x14ac:dyDescent="0.35">
      <c r="A60" t="s">
        <v>35</v>
      </c>
      <c r="B60" t="s">
        <v>36</v>
      </c>
      <c r="C60">
        <v>11.5</v>
      </c>
      <c r="D60">
        <v>0.26826</v>
      </c>
      <c r="E60">
        <v>0.73173999999999995</v>
      </c>
      <c r="F60">
        <f t="shared" si="0"/>
        <v>3.4515989186830907</v>
      </c>
      <c r="G60">
        <f t="shared" si="1"/>
        <v>1.2653755786562522</v>
      </c>
      <c r="H60">
        <v>3.7277268321777299</v>
      </c>
      <c r="I60">
        <v>1.3666056249487499</v>
      </c>
      <c r="J60">
        <v>9.4499644149132696</v>
      </c>
      <c r="K60">
        <v>8.8844690016635397</v>
      </c>
      <c r="L60">
        <v>5.7745412574269599</v>
      </c>
      <c r="M60">
        <v>3.6754231574862999</v>
      </c>
      <c r="N60">
        <v>7.8257600175139705E-2</v>
      </c>
      <c r="O60">
        <v>7.8257600175139705E-2</v>
      </c>
      <c r="P60">
        <v>0</v>
      </c>
      <c r="Q60">
        <v>60.8</v>
      </c>
      <c r="R60">
        <v>60.8</v>
      </c>
      <c r="S60">
        <v>20</v>
      </c>
    </row>
    <row r="61" spans="1:19" x14ac:dyDescent="0.35">
      <c r="A61" t="s">
        <v>35</v>
      </c>
      <c r="B61" t="s">
        <v>36</v>
      </c>
      <c r="C61">
        <v>12.5</v>
      </c>
      <c r="D61">
        <v>0.19352</v>
      </c>
      <c r="E61">
        <v>0.80647999999999997</v>
      </c>
      <c r="F61">
        <f t="shared" si="0"/>
        <v>4.7846523662976743</v>
      </c>
      <c r="G61">
        <f t="shared" si="1"/>
        <v>1.1481077347558846</v>
      </c>
      <c r="H61">
        <v>5.16742455560148</v>
      </c>
      <c r="I61">
        <v>1.23995635353635</v>
      </c>
      <c r="J61">
        <v>9.4499644149132696</v>
      </c>
      <c r="K61">
        <v>8.8844690016635397</v>
      </c>
      <c r="L61">
        <v>5.7745412574269599</v>
      </c>
      <c r="M61">
        <v>3.6754231574862999</v>
      </c>
      <c r="N61">
        <v>7.8257600175139705E-2</v>
      </c>
      <c r="O61">
        <v>7.8257600175139705E-2</v>
      </c>
      <c r="P61">
        <v>0</v>
      </c>
      <c r="Q61">
        <v>60.8</v>
      </c>
      <c r="R61">
        <v>60.8</v>
      </c>
      <c r="S6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fair_odds_corners_next_gw_20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Poljak</dc:creator>
  <cp:lastModifiedBy>Ivana Poljak</cp:lastModifiedBy>
  <dcterms:created xsi:type="dcterms:W3CDTF">2026-01-06T23:48:07Z</dcterms:created>
  <dcterms:modified xsi:type="dcterms:W3CDTF">2026-01-07T11:01:57Z</dcterms:modified>
</cp:coreProperties>
</file>