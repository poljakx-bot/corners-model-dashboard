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Fudbal_Modeli\data\old\England w21\"/>
    </mc:Choice>
  </mc:AlternateContent>
  <xr:revisionPtr revIDLastSave="0" documentId="13_ncr:9_{79841F0E-371D-4244-99D4-BA352DB6865B}" xr6:coauthVersionLast="47" xr6:coauthVersionMax="47" xr10:uidLastSave="{00000000-0000-0000-0000-000000000000}"/>
  <bookViews>
    <workbookView xWindow="-110" yWindow="-110" windowWidth="19420" windowHeight="10300" xr2:uid="{A00482EF-AC3E-49B6-8784-CDDE0CEA92FA}"/>
  </bookViews>
  <sheets>
    <sheet name="fair_odds_corners_next_gw_21" sheetId="1" r:id="rId1"/>
  </sheets>
  <calcPr calcId="0"/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G2" i="1"/>
  <c r="F2" i="1"/>
</calcChain>
</file>

<file path=xl/sharedStrings.xml><?xml version="1.0" encoding="utf-8"?>
<sst xmlns="http://schemas.openxmlformats.org/spreadsheetml/2006/main" count="139" uniqueCount="39">
  <si>
    <t>home</t>
  </si>
  <si>
    <t>away</t>
  </si>
  <si>
    <t>line</t>
  </si>
  <si>
    <t>p_over</t>
  </si>
  <si>
    <t>p_under</t>
  </si>
  <si>
    <t>fair_odds_over</t>
  </si>
  <si>
    <t>fair_odds_under</t>
  </si>
  <si>
    <t>mu_match</t>
  </si>
  <si>
    <t>mu_league</t>
  </si>
  <si>
    <t>mu_home</t>
  </si>
  <si>
    <t>mu_away</t>
  </si>
  <si>
    <t>alpha_base</t>
  </si>
  <si>
    <t>alpha_used</t>
  </si>
  <si>
    <t>low_sample_flag</t>
  </si>
  <si>
    <t>home_matches_w</t>
  </si>
  <si>
    <t>away_matches_w</t>
  </si>
  <si>
    <t>gameweek</t>
  </si>
  <si>
    <t>West Ham United</t>
  </si>
  <si>
    <t>Nottingham Forest</t>
  </si>
  <si>
    <t>Crystal Palace</t>
  </si>
  <si>
    <t>Aston Villa</t>
  </si>
  <si>
    <t>Everton</t>
  </si>
  <si>
    <t>Wolverhampton Wanderers</t>
  </si>
  <si>
    <t>Manchester City</t>
  </si>
  <si>
    <t>Brighton &amp; Hove Albion</t>
  </si>
  <si>
    <t>Bournemouth</t>
  </si>
  <si>
    <t>Tottenham</t>
  </si>
  <si>
    <t>Fulham</t>
  </si>
  <si>
    <t>Chelsea</t>
  </si>
  <si>
    <t>Brentford</t>
  </si>
  <si>
    <t>Sunderland</t>
  </si>
  <si>
    <t>Burnley</t>
  </si>
  <si>
    <t>Manchester United</t>
  </si>
  <si>
    <t>Newcastle</t>
  </si>
  <si>
    <t>Leeds</t>
  </si>
  <si>
    <t>Arsenal</t>
  </si>
  <si>
    <t>Liverpool</t>
  </si>
  <si>
    <t>odds_over_0.08</t>
  </si>
  <si>
    <t>odds_under_0.08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</si>
</sst>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663D-B818-4B43-99DA-F482E4631F5A}">
  <dimension ref="A1:S61"/>
  <sheetViews>
    <sheetView tabSelected="1" workbookViewId="0">
      <selection activeCell="F1" sqref="F1:G2"/>
    </sheetView>
  </sheetViews>
  <sheetFormatPr defaultRowHeight="14.5" x14ac:dyDescent="0.35"/>
  <cols>
    <col min="8" max="9" width="0" hidden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 t="s">
        <v>17</v>
      </c>
      <c r="B2" t="s">
        <v>18</v>
      </c>
      <c r="C2">
        <v>7.5</v>
      </c>
      <c r="D2">
        <v>0.75570000000000004</v>
      </c>
      <c r="E2">
        <v>0.24429999999999899</v>
      </c>
      <c r="F2">
        <f>1/(D2*1.08)</f>
        <v>1.2252559559692018</v>
      </c>
      <c r="G2">
        <f>1/(E2*1.08)</f>
        <v>3.7901184032989348</v>
      </c>
      <c r="H2">
        <v>1.3232764324467301</v>
      </c>
      <c r="I2">
        <v>4.0933278755628297</v>
      </c>
      <c r="J2">
        <v>10.2567434006206</v>
      </c>
      <c r="K2">
        <v>8.9049797855359394</v>
      </c>
      <c r="L2">
        <v>5.5088579150654899</v>
      </c>
      <c r="M2">
        <v>4.7478854855551198</v>
      </c>
      <c r="N2">
        <v>7.5631803253646407E-2</v>
      </c>
      <c r="O2">
        <v>7.5631803253646407E-2</v>
      </c>
      <c r="P2">
        <v>0</v>
      </c>
      <c r="Q2">
        <v>61.8</v>
      </c>
      <c r="R2">
        <v>61.8</v>
      </c>
      <c r="S2">
        <v>21</v>
      </c>
    </row>
    <row r="3" spans="1:19" x14ac:dyDescent="0.35">
      <c r="A3" t="s">
        <v>17</v>
      </c>
      <c r="B3" t="s">
        <v>18</v>
      </c>
      <c r="C3">
        <v>8.5</v>
      </c>
      <c r="D3">
        <v>0.65766000000000002</v>
      </c>
      <c r="E3">
        <v>0.34233999999999998</v>
      </c>
      <c r="F3">
        <f t="shared" ref="F3:F61" si="0">1/(D3*1.08)</f>
        <v>1.4079097496060669</v>
      </c>
      <c r="G3">
        <f t="shared" ref="G3:G61" si="1">1/(E3*1.08)</f>
        <v>2.704696868393778</v>
      </c>
      <c r="H3">
        <v>1.5205425295745501</v>
      </c>
      <c r="I3">
        <v>2.9210726178652799</v>
      </c>
      <c r="J3">
        <v>10.2567434006206</v>
      </c>
      <c r="K3">
        <v>8.9049797855359394</v>
      </c>
      <c r="L3">
        <v>5.5088579150654899</v>
      </c>
      <c r="M3">
        <v>4.7478854855551198</v>
      </c>
      <c r="N3">
        <v>7.5631803253646407E-2</v>
      </c>
      <c r="O3">
        <v>7.5631803253646407E-2</v>
      </c>
      <c r="P3">
        <v>0</v>
      </c>
      <c r="Q3">
        <v>61.8</v>
      </c>
      <c r="R3">
        <v>61.8</v>
      </c>
      <c r="S3">
        <v>21</v>
      </c>
    </row>
    <row r="4" spans="1:19" x14ac:dyDescent="0.35">
      <c r="A4" t="s">
        <v>17</v>
      </c>
      <c r="B4" t="s">
        <v>18</v>
      </c>
      <c r="C4">
        <v>9.5</v>
      </c>
      <c r="D4">
        <v>0.54908000000000001</v>
      </c>
      <c r="E4">
        <v>0.45091999999999999</v>
      </c>
      <c r="F4">
        <f t="shared" si="0"/>
        <v>1.686322441039422</v>
      </c>
      <c r="G4">
        <f t="shared" si="1"/>
        <v>2.0534150756806659</v>
      </c>
      <c r="H4">
        <v>1.82122823632257</v>
      </c>
      <c r="I4">
        <v>2.2176882817351098</v>
      </c>
      <c r="J4">
        <v>10.2567434006206</v>
      </c>
      <c r="K4">
        <v>8.9049797855359394</v>
      </c>
      <c r="L4">
        <v>5.5088579150654899</v>
      </c>
      <c r="M4">
        <v>4.7478854855551198</v>
      </c>
      <c r="N4">
        <v>7.5631803253646407E-2</v>
      </c>
      <c r="O4">
        <v>7.5631803253646407E-2</v>
      </c>
      <c r="P4">
        <v>0</v>
      </c>
      <c r="Q4">
        <v>61.8</v>
      </c>
      <c r="R4">
        <v>61.8</v>
      </c>
      <c r="S4">
        <v>21</v>
      </c>
    </row>
    <row r="5" spans="1:19" x14ac:dyDescent="0.35">
      <c r="A5" t="s">
        <v>17</v>
      </c>
      <c r="B5" t="s">
        <v>18</v>
      </c>
      <c r="C5">
        <v>10.5</v>
      </c>
      <c r="D5">
        <v>0.44072</v>
      </c>
      <c r="E5">
        <v>0.55928</v>
      </c>
      <c r="F5">
        <f t="shared" si="0"/>
        <v>2.1009392038616941</v>
      </c>
      <c r="G5">
        <f t="shared" si="1"/>
        <v>1.6555677405341256</v>
      </c>
      <c r="H5">
        <v>2.26901434017062</v>
      </c>
      <c r="I5">
        <v>1.78801315977685</v>
      </c>
      <c r="J5">
        <v>10.2567434006206</v>
      </c>
      <c r="K5">
        <v>8.9049797855359394</v>
      </c>
      <c r="L5">
        <v>5.5088579150654899</v>
      </c>
      <c r="M5">
        <v>4.7478854855551198</v>
      </c>
      <c r="N5">
        <v>7.5631803253646407E-2</v>
      </c>
      <c r="O5">
        <v>7.5631803253646407E-2</v>
      </c>
      <c r="P5">
        <v>0</v>
      </c>
      <c r="Q5">
        <v>61.8</v>
      </c>
      <c r="R5">
        <v>61.8</v>
      </c>
      <c r="S5">
        <v>21</v>
      </c>
    </row>
    <row r="6" spans="1:19" x14ac:dyDescent="0.35">
      <c r="A6" t="s">
        <v>17</v>
      </c>
      <c r="B6" t="s">
        <v>18</v>
      </c>
      <c r="C6">
        <v>11.5</v>
      </c>
      <c r="D6">
        <v>0.34308</v>
      </c>
      <c r="E6">
        <v>0.65691999999999995</v>
      </c>
      <c r="F6">
        <f t="shared" si="0"/>
        <v>2.6988630229856763</v>
      </c>
      <c r="G6">
        <f t="shared" si="1"/>
        <v>1.409495716260619</v>
      </c>
      <c r="H6">
        <v>2.9147720648245299</v>
      </c>
      <c r="I6">
        <v>1.5222553735614599</v>
      </c>
      <c r="J6">
        <v>10.2567434006206</v>
      </c>
      <c r="K6">
        <v>8.9049797855359394</v>
      </c>
      <c r="L6">
        <v>5.5088579150654899</v>
      </c>
      <c r="M6">
        <v>4.7478854855551198</v>
      </c>
      <c r="N6">
        <v>7.5631803253646407E-2</v>
      </c>
      <c r="O6">
        <v>7.5631803253646407E-2</v>
      </c>
      <c r="P6">
        <v>0</v>
      </c>
      <c r="Q6">
        <v>61.8</v>
      </c>
      <c r="R6">
        <v>61.8</v>
      </c>
      <c r="S6">
        <v>21</v>
      </c>
    </row>
    <row r="7" spans="1:19" x14ac:dyDescent="0.35">
      <c r="A7" t="s">
        <v>17</v>
      </c>
      <c r="B7" t="s">
        <v>18</v>
      </c>
      <c r="C7">
        <v>12.5</v>
      </c>
      <c r="D7">
        <v>0.25891999999999998</v>
      </c>
      <c r="E7">
        <v>0.74107999999999996</v>
      </c>
      <c r="F7">
        <f t="shared" si="0"/>
        <v>3.5761081643979837</v>
      </c>
      <c r="G7">
        <f t="shared" si="1"/>
        <v>1.249427762084965</v>
      </c>
      <c r="H7">
        <v>3.8621968175498198</v>
      </c>
      <c r="I7">
        <v>1.3493819830517599</v>
      </c>
      <c r="J7">
        <v>10.2567434006206</v>
      </c>
      <c r="K7">
        <v>8.9049797855359394</v>
      </c>
      <c r="L7">
        <v>5.5088579150654899</v>
      </c>
      <c r="M7">
        <v>4.7478854855551198</v>
      </c>
      <c r="N7">
        <v>7.5631803253646407E-2</v>
      </c>
      <c r="O7">
        <v>7.5631803253646407E-2</v>
      </c>
      <c r="P7">
        <v>0</v>
      </c>
      <c r="Q7">
        <v>61.8</v>
      </c>
      <c r="R7">
        <v>61.8</v>
      </c>
      <c r="S7">
        <v>21</v>
      </c>
    </row>
    <row r="8" spans="1:19" x14ac:dyDescent="0.35">
      <c r="A8" t="s">
        <v>19</v>
      </c>
      <c r="B8" t="s">
        <v>20</v>
      </c>
      <c r="C8">
        <v>7.5</v>
      </c>
      <c r="D8">
        <v>0.69940000000000002</v>
      </c>
      <c r="E8">
        <v>0.30059999999999998</v>
      </c>
      <c r="F8">
        <f t="shared" si="0"/>
        <v>1.3238860822503944</v>
      </c>
      <c r="G8">
        <f t="shared" si="1"/>
        <v>3.0802592346171855</v>
      </c>
      <c r="H8">
        <v>1.42979696883042</v>
      </c>
      <c r="I8">
        <v>3.3266799733865602</v>
      </c>
      <c r="J8">
        <v>9.5701862301810898</v>
      </c>
      <c r="K8">
        <v>8.9049797855359394</v>
      </c>
      <c r="L8">
        <v>4.1758616525288996</v>
      </c>
      <c r="M8">
        <v>5.3943245776521804</v>
      </c>
      <c r="N8">
        <v>7.5631803253646407E-2</v>
      </c>
      <c r="O8">
        <v>7.5631803253646407E-2</v>
      </c>
      <c r="P8">
        <v>0</v>
      </c>
      <c r="Q8">
        <v>61.8</v>
      </c>
      <c r="R8">
        <v>61.8</v>
      </c>
      <c r="S8">
        <v>21</v>
      </c>
    </row>
    <row r="9" spans="1:19" x14ac:dyDescent="0.35">
      <c r="A9" t="s">
        <v>19</v>
      </c>
      <c r="B9" t="s">
        <v>20</v>
      </c>
      <c r="C9">
        <v>8.5</v>
      </c>
      <c r="D9">
        <v>0.58601999999999999</v>
      </c>
      <c r="E9">
        <v>0.41398000000000001</v>
      </c>
      <c r="F9">
        <f t="shared" si="0"/>
        <v>1.5800244461382305</v>
      </c>
      <c r="G9">
        <f t="shared" si="1"/>
        <v>2.2366441034009514</v>
      </c>
      <c r="H9">
        <v>1.7064264018292801</v>
      </c>
      <c r="I9">
        <v>2.4155756316730201</v>
      </c>
      <c r="J9">
        <v>9.5701862301810898</v>
      </c>
      <c r="K9">
        <v>8.9049797855359394</v>
      </c>
      <c r="L9">
        <v>4.1758616525288996</v>
      </c>
      <c r="M9">
        <v>5.3943245776521804</v>
      </c>
      <c r="N9">
        <v>7.5631803253646407E-2</v>
      </c>
      <c r="O9">
        <v>7.5631803253646407E-2</v>
      </c>
      <c r="P9">
        <v>0</v>
      </c>
      <c r="Q9">
        <v>61.8</v>
      </c>
      <c r="R9">
        <v>61.8</v>
      </c>
      <c r="S9">
        <v>21</v>
      </c>
    </row>
    <row r="10" spans="1:19" x14ac:dyDescent="0.35">
      <c r="A10" t="s">
        <v>19</v>
      </c>
      <c r="B10" t="s">
        <v>20</v>
      </c>
      <c r="C10">
        <v>9.5</v>
      </c>
      <c r="D10">
        <v>0.47120000000000001</v>
      </c>
      <c r="E10">
        <v>0.52879999999999905</v>
      </c>
      <c r="F10">
        <f t="shared" si="0"/>
        <v>1.9650380431365151</v>
      </c>
      <c r="G10">
        <f t="shared" si="1"/>
        <v>1.7509945649128733</v>
      </c>
      <c r="H10">
        <v>2.1222410865874299</v>
      </c>
      <c r="I10">
        <v>1.8910741301059</v>
      </c>
      <c r="J10">
        <v>9.5701862301810898</v>
      </c>
      <c r="K10">
        <v>8.9049797855359394</v>
      </c>
      <c r="L10">
        <v>4.1758616525288996</v>
      </c>
      <c r="M10">
        <v>5.3943245776521804</v>
      </c>
      <c r="N10">
        <v>7.5631803253646407E-2</v>
      </c>
      <c r="O10">
        <v>7.5631803253646407E-2</v>
      </c>
      <c r="P10">
        <v>0</v>
      </c>
      <c r="Q10">
        <v>61.8</v>
      </c>
      <c r="R10">
        <v>61.8</v>
      </c>
      <c r="S10">
        <v>21</v>
      </c>
    </row>
    <row r="11" spans="1:19" x14ac:dyDescent="0.35">
      <c r="A11" t="s">
        <v>19</v>
      </c>
      <c r="B11" t="s">
        <v>20</v>
      </c>
      <c r="C11">
        <v>10.5</v>
      </c>
      <c r="D11">
        <v>0.36546000000000001</v>
      </c>
      <c r="E11">
        <v>0.63453999999999999</v>
      </c>
      <c r="F11">
        <f t="shared" si="0"/>
        <v>2.5335903407374976</v>
      </c>
      <c r="G11">
        <f t="shared" si="1"/>
        <v>1.4592081286064329</v>
      </c>
      <c r="H11">
        <v>2.7362775679964901</v>
      </c>
      <c r="I11">
        <v>1.5759447788949399</v>
      </c>
      <c r="J11">
        <v>9.5701862301810898</v>
      </c>
      <c r="K11">
        <v>8.9049797855359394</v>
      </c>
      <c r="L11">
        <v>4.1758616525288996</v>
      </c>
      <c r="M11">
        <v>5.3943245776521804</v>
      </c>
      <c r="N11">
        <v>7.5631803253646407E-2</v>
      </c>
      <c r="O11">
        <v>7.5631803253646407E-2</v>
      </c>
      <c r="P11">
        <v>0</v>
      </c>
      <c r="Q11">
        <v>61.8</v>
      </c>
      <c r="R11">
        <v>61.8</v>
      </c>
      <c r="S11">
        <v>21</v>
      </c>
    </row>
    <row r="12" spans="1:19" x14ac:dyDescent="0.35">
      <c r="A12" t="s">
        <v>19</v>
      </c>
      <c r="B12" t="s">
        <v>20</v>
      </c>
      <c r="C12">
        <v>11.5</v>
      </c>
      <c r="D12">
        <v>0.27472000000000002</v>
      </c>
      <c r="E12">
        <v>0.72527999999999904</v>
      </c>
      <c r="F12">
        <f t="shared" si="0"/>
        <v>3.370435082723958</v>
      </c>
      <c r="G12">
        <f t="shared" si="1"/>
        <v>1.276646158622776</v>
      </c>
      <c r="H12">
        <v>3.6400698893418699</v>
      </c>
      <c r="I12">
        <v>1.3787778513125899</v>
      </c>
      <c r="J12">
        <v>9.5701862301810898</v>
      </c>
      <c r="K12">
        <v>8.9049797855359394</v>
      </c>
      <c r="L12">
        <v>4.1758616525288996</v>
      </c>
      <c r="M12">
        <v>5.3943245776521804</v>
      </c>
      <c r="N12">
        <v>7.5631803253646407E-2</v>
      </c>
      <c r="O12">
        <v>7.5631803253646407E-2</v>
      </c>
      <c r="P12">
        <v>0</v>
      </c>
      <c r="Q12">
        <v>61.8</v>
      </c>
      <c r="R12">
        <v>61.8</v>
      </c>
      <c r="S12">
        <v>21</v>
      </c>
    </row>
    <row r="13" spans="1:19" x14ac:dyDescent="0.35">
      <c r="A13" t="s">
        <v>19</v>
      </c>
      <c r="B13" t="s">
        <v>20</v>
      </c>
      <c r="C13">
        <v>12.5</v>
      </c>
      <c r="D13">
        <v>0.19918</v>
      </c>
      <c r="E13">
        <v>0.80081999999999998</v>
      </c>
      <c r="F13">
        <f t="shared" si="0"/>
        <v>4.648689255577497</v>
      </c>
      <c r="G13">
        <f t="shared" si="1"/>
        <v>1.1562222795708472</v>
      </c>
      <c r="H13">
        <v>5.0205843960236898</v>
      </c>
      <c r="I13">
        <v>1.24872006193651</v>
      </c>
      <c r="J13">
        <v>9.5701862301810898</v>
      </c>
      <c r="K13">
        <v>8.9049797855359394</v>
      </c>
      <c r="L13">
        <v>4.1758616525288996</v>
      </c>
      <c r="M13">
        <v>5.3943245776521804</v>
      </c>
      <c r="N13">
        <v>7.5631803253646407E-2</v>
      </c>
      <c r="O13">
        <v>7.5631803253646407E-2</v>
      </c>
      <c r="P13">
        <v>0</v>
      </c>
      <c r="Q13">
        <v>61.8</v>
      </c>
      <c r="R13">
        <v>61.8</v>
      </c>
      <c r="S13">
        <v>21</v>
      </c>
    </row>
    <row r="14" spans="1:19" x14ac:dyDescent="0.35">
      <c r="A14" t="s">
        <v>21</v>
      </c>
      <c r="B14" t="s">
        <v>22</v>
      </c>
      <c r="C14">
        <v>7.5</v>
      </c>
      <c r="D14">
        <v>0.67061999999999999</v>
      </c>
      <c r="E14">
        <v>0.32938000000000001</v>
      </c>
      <c r="F14">
        <f t="shared" si="0"/>
        <v>1.380701330001977</v>
      </c>
      <c r="G14">
        <f t="shared" si="1"/>
        <v>2.8111176329040188</v>
      </c>
      <c r="H14">
        <v>1.4911574364021301</v>
      </c>
      <c r="I14">
        <v>3.03600704353634</v>
      </c>
      <c r="J14">
        <v>9.2856118099898506</v>
      </c>
      <c r="K14">
        <v>8.9049797855359394</v>
      </c>
      <c r="L14">
        <v>5.4233815944380996</v>
      </c>
      <c r="M14">
        <v>3.8622302155517501</v>
      </c>
      <c r="N14">
        <v>7.5631803253646407E-2</v>
      </c>
      <c r="O14">
        <v>7.5631803253646407E-2</v>
      </c>
      <c r="P14">
        <v>0</v>
      </c>
      <c r="Q14">
        <v>61.8</v>
      </c>
      <c r="R14">
        <v>61.8</v>
      </c>
      <c r="S14">
        <v>21</v>
      </c>
    </row>
    <row r="15" spans="1:19" x14ac:dyDescent="0.35">
      <c r="A15" t="s">
        <v>21</v>
      </c>
      <c r="B15" t="s">
        <v>22</v>
      </c>
      <c r="C15">
        <v>8.5</v>
      </c>
      <c r="D15">
        <v>0.55537999999999998</v>
      </c>
      <c r="E15">
        <v>0.44462000000000002</v>
      </c>
      <c r="F15">
        <f t="shared" si="0"/>
        <v>1.6671934998126072</v>
      </c>
      <c r="G15">
        <f t="shared" si="1"/>
        <v>2.0825107415904047</v>
      </c>
      <c r="H15">
        <v>1.8005689797976101</v>
      </c>
      <c r="I15">
        <v>2.24911160091763</v>
      </c>
      <c r="J15">
        <v>9.2856118099898506</v>
      </c>
      <c r="K15">
        <v>8.9049797855359394</v>
      </c>
      <c r="L15">
        <v>5.4233815944380996</v>
      </c>
      <c r="M15">
        <v>3.8622302155517501</v>
      </c>
      <c r="N15">
        <v>7.5631803253646407E-2</v>
      </c>
      <c r="O15">
        <v>7.5631803253646407E-2</v>
      </c>
      <c r="P15">
        <v>0</v>
      </c>
      <c r="Q15">
        <v>61.8</v>
      </c>
      <c r="R15">
        <v>61.8</v>
      </c>
      <c r="S15">
        <v>21</v>
      </c>
    </row>
    <row r="16" spans="1:19" x14ac:dyDescent="0.35">
      <c r="A16" t="s">
        <v>21</v>
      </c>
      <c r="B16" t="s">
        <v>22</v>
      </c>
      <c r="C16">
        <v>9.5</v>
      </c>
      <c r="D16">
        <v>0.44168000000000002</v>
      </c>
      <c r="E16">
        <v>0.55831999999999904</v>
      </c>
      <c r="F16">
        <f t="shared" si="0"/>
        <v>2.0963727719750178</v>
      </c>
      <c r="G16">
        <f t="shared" si="1"/>
        <v>1.6584143966290432</v>
      </c>
      <c r="H16">
        <v>2.26408259373301</v>
      </c>
      <c r="I16">
        <v>1.79108754835936</v>
      </c>
      <c r="J16">
        <v>9.2856118099898506</v>
      </c>
      <c r="K16">
        <v>8.9049797855359394</v>
      </c>
      <c r="L16">
        <v>5.4233815944380996</v>
      </c>
      <c r="M16">
        <v>3.8622302155517501</v>
      </c>
      <c r="N16">
        <v>7.5631803253646407E-2</v>
      </c>
      <c r="O16">
        <v>7.5631803253646407E-2</v>
      </c>
      <c r="P16">
        <v>0</v>
      </c>
      <c r="Q16">
        <v>61.8</v>
      </c>
      <c r="R16">
        <v>61.8</v>
      </c>
      <c r="S16">
        <v>21</v>
      </c>
    </row>
    <row r="17" spans="1:19" x14ac:dyDescent="0.35">
      <c r="A17" t="s">
        <v>21</v>
      </c>
      <c r="B17" t="s">
        <v>22</v>
      </c>
      <c r="C17">
        <v>10.5</v>
      </c>
      <c r="D17">
        <v>0.33994000000000002</v>
      </c>
      <c r="E17">
        <v>0.66005999999999998</v>
      </c>
      <c r="F17">
        <f t="shared" si="0"/>
        <v>2.7237922160555561</v>
      </c>
      <c r="G17">
        <f t="shared" si="1"/>
        <v>1.4027905431717205</v>
      </c>
      <c r="H17">
        <v>2.94169559334</v>
      </c>
      <c r="I17">
        <v>1.5150137866254501</v>
      </c>
      <c r="J17">
        <v>9.2856118099898506</v>
      </c>
      <c r="K17">
        <v>8.9049797855359394</v>
      </c>
      <c r="L17">
        <v>5.4233815944380996</v>
      </c>
      <c r="M17">
        <v>3.8622302155517501</v>
      </c>
      <c r="N17">
        <v>7.5631803253646407E-2</v>
      </c>
      <c r="O17">
        <v>7.5631803253646407E-2</v>
      </c>
      <c r="P17">
        <v>0</v>
      </c>
      <c r="Q17">
        <v>61.8</v>
      </c>
      <c r="R17">
        <v>61.8</v>
      </c>
      <c r="S17">
        <v>21</v>
      </c>
    </row>
    <row r="18" spans="1:19" x14ac:dyDescent="0.35">
      <c r="A18" t="s">
        <v>21</v>
      </c>
      <c r="B18" t="s">
        <v>22</v>
      </c>
      <c r="C18">
        <v>11.5</v>
      </c>
      <c r="D18">
        <v>0.24908</v>
      </c>
      <c r="E18">
        <v>0.75092000000000003</v>
      </c>
      <c r="F18">
        <f t="shared" si="0"/>
        <v>3.7173836756300216</v>
      </c>
      <c r="G18">
        <f t="shared" si="1"/>
        <v>1.2330553533344775</v>
      </c>
      <c r="H18">
        <v>4.0147743696804197</v>
      </c>
      <c r="I18">
        <v>1.3316997816012299</v>
      </c>
      <c r="J18">
        <v>9.2856118099898506</v>
      </c>
      <c r="K18">
        <v>8.9049797855359394</v>
      </c>
      <c r="L18">
        <v>5.4233815944380996</v>
      </c>
      <c r="M18">
        <v>3.8622302155517501</v>
      </c>
      <c r="N18">
        <v>7.5631803253646407E-2</v>
      </c>
      <c r="O18">
        <v>7.5631803253646407E-2</v>
      </c>
      <c r="P18">
        <v>0</v>
      </c>
      <c r="Q18">
        <v>61.8</v>
      </c>
      <c r="R18">
        <v>61.8</v>
      </c>
      <c r="S18">
        <v>21</v>
      </c>
    </row>
    <row r="19" spans="1:19" x14ac:dyDescent="0.35">
      <c r="A19" t="s">
        <v>21</v>
      </c>
      <c r="B19" t="s">
        <v>22</v>
      </c>
      <c r="C19">
        <v>12.5</v>
      </c>
      <c r="D19">
        <v>0.17621999999999999</v>
      </c>
      <c r="E19">
        <v>0.82377999999999996</v>
      </c>
      <c r="F19">
        <f t="shared" si="0"/>
        <v>5.2543747924521957</v>
      </c>
      <c r="G19">
        <f t="shared" si="1"/>
        <v>1.123996608227835</v>
      </c>
      <c r="H19">
        <v>5.6747247758483699</v>
      </c>
      <c r="I19">
        <v>1.2139163368860599</v>
      </c>
      <c r="J19">
        <v>9.2856118099898506</v>
      </c>
      <c r="K19">
        <v>8.9049797855359394</v>
      </c>
      <c r="L19">
        <v>5.4233815944380996</v>
      </c>
      <c r="M19">
        <v>3.8622302155517501</v>
      </c>
      <c r="N19">
        <v>7.5631803253646407E-2</v>
      </c>
      <c r="O19">
        <v>7.5631803253646407E-2</v>
      </c>
      <c r="P19">
        <v>0</v>
      </c>
      <c r="Q19">
        <v>61.8</v>
      </c>
      <c r="R19">
        <v>61.8</v>
      </c>
      <c r="S19">
        <v>21</v>
      </c>
    </row>
    <row r="20" spans="1:19" x14ac:dyDescent="0.35">
      <c r="A20" t="s">
        <v>23</v>
      </c>
      <c r="B20" t="s">
        <v>24</v>
      </c>
      <c r="C20">
        <v>7.5</v>
      </c>
      <c r="D20">
        <v>0.68642000000000003</v>
      </c>
      <c r="E20">
        <v>0.31357999999999903</v>
      </c>
      <c r="F20">
        <f t="shared" si="0"/>
        <v>1.3489203780861949</v>
      </c>
      <c r="G20">
        <f t="shared" si="1"/>
        <v>2.9527582305183007</v>
      </c>
      <c r="H20">
        <v>1.45683400833309</v>
      </c>
      <c r="I20">
        <v>3.1889788889597499</v>
      </c>
      <c r="J20">
        <v>9.4807575850227703</v>
      </c>
      <c r="K20">
        <v>8.9049797855359394</v>
      </c>
      <c r="L20">
        <v>6.3229827505923</v>
      </c>
      <c r="M20">
        <v>3.1577748344304601</v>
      </c>
      <c r="N20">
        <v>7.5631803253646407E-2</v>
      </c>
      <c r="O20">
        <v>7.5631803253646407E-2</v>
      </c>
      <c r="P20">
        <v>0</v>
      </c>
      <c r="Q20">
        <v>61.8</v>
      </c>
      <c r="R20">
        <v>61.8</v>
      </c>
      <c r="S20">
        <v>21</v>
      </c>
    </row>
    <row r="21" spans="1:19" x14ac:dyDescent="0.35">
      <c r="A21" t="s">
        <v>23</v>
      </c>
      <c r="B21" t="s">
        <v>24</v>
      </c>
      <c r="C21">
        <v>8.5</v>
      </c>
      <c r="D21">
        <v>0.57645999999999997</v>
      </c>
      <c r="E21">
        <v>0.42354000000000003</v>
      </c>
      <c r="F21">
        <f t="shared" si="0"/>
        <v>1.6062275369078962</v>
      </c>
      <c r="G21">
        <f t="shared" si="1"/>
        <v>2.1861593377861022</v>
      </c>
      <c r="H21">
        <v>1.73472573986052</v>
      </c>
      <c r="I21">
        <v>2.36105208480899</v>
      </c>
      <c r="J21">
        <v>9.4807575850227703</v>
      </c>
      <c r="K21">
        <v>8.9049797855359394</v>
      </c>
      <c r="L21">
        <v>6.3229827505923</v>
      </c>
      <c r="M21">
        <v>3.1577748344304601</v>
      </c>
      <c r="N21">
        <v>7.5631803253646407E-2</v>
      </c>
      <c r="O21">
        <v>7.5631803253646407E-2</v>
      </c>
      <c r="P21">
        <v>0</v>
      </c>
      <c r="Q21">
        <v>61.8</v>
      </c>
      <c r="R21">
        <v>61.8</v>
      </c>
      <c r="S21">
        <v>21</v>
      </c>
    </row>
    <row r="22" spans="1:19" x14ac:dyDescent="0.35">
      <c r="A22" t="s">
        <v>23</v>
      </c>
      <c r="B22" t="s">
        <v>24</v>
      </c>
      <c r="C22">
        <v>9.5</v>
      </c>
      <c r="D22">
        <v>0.46422000000000002</v>
      </c>
      <c r="E22">
        <v>0.53577999999999903</v>
      </c>
      <c r="F22">
        <f t="shared" si="0"/>
        <v>1.9945843046958895</v>
      </c>
      <c r="G22">
        <f t="shared" si="1"/>
        <v>1.7281830712716555</v>
      </c>
      <c r="H22">
        <v>2.1541510490715599</v>
      </c>
      <c r="I22">
        <v>1.8664377169733799</v>
      </c>
      <c r="J22">
        <v>9.4807575850227703</v>
      </c>
      <c r="K22">
        <v>8.9049797855359394</v>
      </c>
      <c r="L22">
        <v>6.3229827505923</v>
      </c>
      <c r="M22">
        <v>3.1577748344304601</v>
      </c>
      <c r="N22">
        <v>7.5631803253646407E-2</v>
      </c>
      <c r="O22">
        <v>7.5631803253646407E-2</v>
      </c>
      <c r="P22">
        <v>0</v>
      </c>
      <c r="Q22">
        <v>61.8</v>
      </c>
      <c r="R22">
        <v>61.8</v>
      </c>
      <c r="S22">
        <v>21</v>
      </c>
    </row>
    <row r="23" spans="1:19" x14ac:dyDescent="0.35">
      <c r="A23" t="s">
        <v>23</v>
      </c>
      <c r="B23" t="s">
        <v>24</v>
      </c>
      <c r="C23">
        <v>10.5</v>
      </c>
      <c r="D23">
        <v>0.36042000000000002</v>
      </c>
      <c r="E23">
        <v>0.63958000000000004</v>
      </c>
      <c r="F23">
        <f t="shared" si="0"/>
        <v>2.5690192717549687</v>
      </c>
      <c r="G23">
        <f t="shared" si="1"/>
        <v>1.4477093184995244</v>
      </c>
      <c r="H23">
        <v>2.77454081349536</v>
      </c>
      <c r="I23">
        <v>1.5635260639794799</v>
      </c>
      <c r="J23">
        <v>9.4807575850227703</v>
      </c>
      <c r="K23">
        <v>8.9049797855359394</v>
      </c>
      <c r="L23">
        <v>6.3229827505923</v>
      </c>
      <c r="M23">
        <v>3.1577748344304601</v>
      </c>
      <c r="N23">
        <v>7.5631803253646407E-2</v>
      </c>
      <c r="O23">
        <v>7.5631803253646407E-2</v>
      </c>
      <c r="P23">
        <v>0</v>
      </c>
      <c r="Q23">
        <v>61.8</v>
      </c>
      <c r="R23">
        <v>61.8</v>
      </c>
      <c r="S23">
        <v>21</v>
      </c>
    </row>
    <row r="24" spans="1:19" x14ac:dyDescent="0.35">
      <c r="A24" t="s">
        <v>23</v>
      </c>
      <c r="B24" t="s">
        <v>24</v>
      </c>
      <c r="C24">
        <v>11.5</v>
      </c>
      <c r="D24">
        <v>0.26838000000000001</v>
      </c>
      <c r="E24">
        <v>0.73161999999999905</v>
      </c>
      <c r="F24">
        <f t="shared" si="0"/>
        <v>3.4500556148965122</v>
      </c>
      <c r="G24">
        <f t="shared" si="1"/>
        <v>1.2655831250183525</v>
      </c>
      <c r="H24">
        <v>3.7260600640882302</v>
      </c>
      <c r="I24">
        <v>1.36682977501981</v>
      </c>
      <c r="J24">
        <v>9.4807575850227703</v>
      </c>
      <c r="K24">
        <v>8.9049797855359394</v>
      </c>
      <c r="L24">
        <v>6.3229827505923</v>
      </c>
      <c r="M24">
        <v>3.1577748344304601</v>
      </c>
      <c r="N24">
        <v>7.5631803253646407E-2</v>
      </c>
      <c r="O24">
        <v>7.5631803253646407E-2</v>
      </c>
      <c r="P24">
        <v>0</v>
      </c>
      <c r="Q24">
        <v>61.8</v>
      </c>
      <c r="R24">
        <v>61.8</v>
      </c>
      <c r="S24">
        <v>21</v>
      </c>
    </row>
    <row r="25" spans="1:19" x14ac:dyDescent="0.35">
      <c r="A25" t="s">
        <v>23</v>
      </c>
      <c r="B25" t="s">
        <v>24</v>
      </c>
      <c r="C25">
        <v>12.5</v>
      </c>
      <c r="D25">
        <v>0.19506000000000001</v>
      </c>
      <c r="E25">
        <v>0.80493999999999999</v>
      </c>
      <c r="F25">
        <f t="shared" si="0"/>
        <v>4.746877503977883</v>
      </c>
      <c r="G25">
        <f t="shared" si="1"/>
        <v>1.1503042784877455</v>
      </c>
      <c r="H25">
        <v>5.1266277042961104</v>
      </c>
      <c r="I25">
        <v>1.2423286207667601</v>
      </c>
      <c r="J25">
        <v>9.4807575850227703</v>
      </c>
      <c r="K25">
        <v>8.9049797855359394</v>
      </c>
      <c r="L25">
        <v>6.3229827505923</v>
      </c>
      <c r="M25">
        <v>3.1577748344304601</v>
      </c>
      <c r="N25">
        <v>7.5631803253646407E-2</v>
      </c>
      <c r="O25">
        <v>7.5631803253646407E-2</v>
      </c>
      <c r="P25">
        <v>0</v>
      </c>
      <c r="Q25">
        <v>61.8</v>
      </c>
      <c r="R25">
        <v>61.8</v>
      </c>
      <c r="S25">
        <v>21</v>
      </c>
    </row>
    <row r="26" spans="1:19" x14ac:dyDescent="0.35">
      <c r="A26" t="s">
        <v>25</v>
      </c>
      <c r="B26" t="s">
        <v>26</v>
      </c>
      <c r="C26">
        <v>7.5</v>
      </c>
      <c r="D26">
        <v>0.88314000000000004</v>
      </c>
      <c r="E26">
        <v>0.11685999999999901</v>
      </c>
      <c r="F26">
        <f t="shared" si="0"/>
        <v>1.0484475008785989</v>
      </c>
      <c r="G26">
        <f t="shared" si="1"/>
        <v>7.9233777676359214</v>
      </c>
      <c r="H26">
        <v>1.13232330094888</v>
      </c>
      <c r="I26">
        <v>8.5572479890467203</v>
      </c>
      <c r="J26">
        <v>12.4223442126456</v>
      </c>
      <c r="K26">
        <v>8.9049797855359394</v>
      </c>
      <c r="L26">
        <v>7.1033663642064599</v>
      </c>
      <c r="M26">
        <v>5.3189778484392098</v>
      </c>
      <c r="N26">
        <v>7.5631803253646407E-2</v>
      </c>
      <c r="O26">
        <v>7.5631803253646407E-2</v>
      </c>
      <c r="P26">
        <v>0</v>
      </c>
      <c r="Q26">
        <v>61.8</v>
      </c>
      <c r="R26">
        <v>61.8</v>
      </c>
      <c r="S26">
        <v>21</v>
      </c>
    </row>
    <row r="27" spans="1:19" x14ac:dyDescent="0.35">
      <c r="A27" t="s">
        <v>25</v>
      </c>
      <c r="B27" t="s">
        <v>26</v>
      </c>
      <c r="C27">
        <v>8.5</v>
      </c>
      <c r="D27">
        <v>0.81788000000000005</v>
      </c>
      <c r="E27">
        <v>0.182119999999999</v>
      </c>
      <c r="F27">
        <f t="shared" si="0"/>
        <v>1.1321048637036311</v>
      </c>
      <c r="G27">
        <f t="shared" si="1"/>
        <v>5.0841528987806441</v>
      </c>
      <c r="H27">
        <v>1.22267325279992</v>
      </c>
      <c r="I27">
        <v>5.4908851306830604</v>
      </c>
      <c r="J27">
        <v>12.4223442126456</v>
      </c>
      <c r="K27">
        <v>8.9049797855359394</v>
      </c>
      <c r="L27">
        <v>7.1033663642064599</v>
      </c>
      <c r="M27">
        <v>5.3189778484392098</v>
      </c>
      <c r="N27">
        <v>7.5631803253646407E-2</v>
      </c>
      <c r="O27">
        <v>7.5631803253646407E-2</v>
      </c>
      <c r="P27">
        <v>0</v>
      </c>
      <c r="Q27">
        <v>61.8</v>
      </c>
      <c r="R27">
        <v>61.8</v>
      </c>
      <c r="S27">
        <v>21</v>
      </c>
    </row>
    <row r="28" spans="1:19" x14ac:dyDescent="0.35">
      <c r="A28" t="s">
        <v>25</v>
      </c>
      <c r="B28" t="s">
        <v>26</v>
      </c>
      <c r="C28">
        <v>9.5</v>
      </c>
      <c r="D28">
        <v>0.73828000000000005</v>
      </c>
      <c r="E28">
        <v>0.26171999999999901</v>
      </c>
      <c r="F28">
        <f t="shared" si="0"/>
        <v>1.254166340583418</v>
      </c>
      <c r="G28">
        <f t="shared" si="1"/>
        <v>3.5378493272425851</v>
      </c>
      <c r="H28">
        <v>1.3544996478300899</v>
      </c>
      <c r="I28">
        <v>3.8208772734219698</v>
      </c>
      <c r="J28">
        <v>12.4223442126456</v>
      </c>
      <c r="K28">
        <v>8.9049797855359394</v>
      </c>
      <c r="L28">
        <v>7.1033663642064599</v>
      </c>
      <c r="M28">
        <v>5.3189778484392098</v>
      </c>
      <c r="N28">
        <v>7.5631803253646407E-2</v>
      </c>
      <c r="O28">
        <v>7.5631803253646407E-2</v>
      </c>
      <c r="P28">
        <v>0</v>
      </c>
      <c r="Q28">
        <v>61.8</v>
      </c>
      <c r="R28">
        <v>61.8</v>
      </c>
      <c r="S28">
        <v>21</v>
      </c>
    </row>
    <row r="29" spans="1:19" x14ac:dyDescent="0.35">
      <c r="A29" t="s">
        <v>25</v>
      </c>
      <c r="B29" t="s">
        <v>26</v>
      </c>
      <c r="C29">
        <v>10.5</v>
      </c>
      <c r="D29">
        <v>0.64973999999999998</v>
      </c>
      <c r="E29">
        <v>0.35026000000000002</v>
      </c>
      <c r="F29">
        <f t="shared" si="0"/>
        <v>1.4250714530826576</v>
      </c>
      <c r="G29">
        <f t="shared" si="1"/>
        <v>2.6435388737678465</v>
      </c>
      <c r="H29">
        <v>1.53907716932927</v>
      </c>
      <c r="I29">
        <v>2.8550219836692698</v>
      </c>
      <c r="J29">
        <v>12.4223442126456</v>
      </c>
      <c r="K29">
        <v>8.9049797855359394</v>
      </c>
      <c r="L29">
        <v>7.1033663642064599</v>
      </c>
      <c r="M29">
        <v>5.3189778484392098</v>
      </c>
      <c r="N29">
        <v>7.5631803253646407E-2</v>
      </c>
      <c r="O29">
        <v>7.5631803253646407E-2</v>
      </c>
      <c r="P29">
        <v>0</v>
      </c>
      <c r="Q29">
        <v>61.8</v>
      </c>
      <c r="R29">
        <v>61.8</v>
      </c>
      <c r="S29">
        <v>21</v>
      </c>
    </row>
    <row r="30" spans="1:19" x14ac:dyDescent="0.35">
      <c r="A30" t="s">
        <v>25</v>
      </c>
      <c r="B30" t="s">
        <v>26</v>
      </c>
      <c r="C30">
        <v>11.5</v>
      </c>
      <c r="D30">
        <v>0.55503999999999998</v>
      </c>
      <c r="E30">
        <v>0.44496000000000002</v>
      </c>
      <c r="F30">
        <f t="shared" si="0"/>
        <v>1.6682147699732017</v>
      </c>
      <c r="G30">
        <f t="shared" si="1"/>
        <v>2.0809194667519009</v>
      </c>
      <c r="H30">
        <v>1.80167195157105</v>
      </c>
      <c r="I30">
        <v>2.2473930240920499</v>
      </c>
      <c r="J30">
        <v>12.4223442126456</v>
      </c>
      <c r="K30">
        <v>8.9049797855359394</v>
      </c>
      <c r="L30">
        <v>7.1033663642064599</v>
      </c>
      <c r="M30">
        <v>5.3189778484392098</v>
      </c>
      <c r="N30">
        <v>7.5631803253646407E-2</v>
      </c>
      <c r="O30">
        <v>7.5631803253646407E-2</v>
      </c>
      <c r="P30">
        <v>0</v>
      </c>
      <c r="Q30">
        <v>61.8</v>
      </c>
      <c r="R30">
        <v>61.8</v>
      </c>
      <c r="S30">
        <v>21</v>
      </c>
    </row>
    <row r="31" spans="1:19" x14ac:dyDescent="0.35">
      <c r="A31" t="s">
        <v>25</v>
      </c>
      <c r="B31" t="s">
        <v>26</v>
      </c>
      <c r="C31">
        <v>12.5</v>
      </c>
      <c r="D31">
        <v>0.46079999999999999</v>
      </c>
      <c r="E31">
        <v>0.53920000000000001</v>
      </c>
      <c r="F31">
        <f t="shared" si="0"/>
        <v>2.0093878600823047</v>
      </c>
      <c r="G31">
        <f t="shared" si="1"/>
        <v>1.7172216727112868</v>
      </c>
      <c r="H31">
        <v>2.17013888888888</v>
      </c>
      <c r="I31">
        <v>1.8545994065281799</v>
      </c>
      <c r="J31">
        <v>12.4223442126456</v>
      </c>
      <c r="K31">
        <v>8.9049797855359394</v>
      </c>
      <c r="L31">
        <v>7.1033663642064599</v>
      </c>
      <c r="M31">
        <v>5.3189778484392098</v>
      </c>
      <c r="N31">
        <v>7.5631803253646407E-2</v>
      </c>
      <c r="O31">
        <v>7.5631803253646407E-2</v>
      </c>
      <c r="P31">
        <v>0</v>
      </c>
      <c r="Q31">
        <v>61.8</v>
      </c>
      <c r="R31">
        <v>61.8</v>
      </c>
      <c r="S31">
        <v>21</v>
      </c>
    </row>
    <row r="32" spans="1:19" x14ac:dyDescent="0.35">
      <c r="A32" t="s">
        <v>27</v>
      </c>
      <c r="B32" t="s">
        <v>28</v>
      </c>
      <c r="C32">
        <v>7.5</v>
      </c>
      <c r="D32">
        <v>0.70521999999999996</v>
      </c>
      <c r="E32">
        <v>0.29477999999999999</v>
      </c>
      <c r="F32">
        <f t="shared" si="0"/>
        <v>1.3129603895605995</v>
      </c>
      <c r="G32">
        <f t="shared" si="1"/>
        <v>3.1410744484901483</v>
      </c>
      <c r="H32">
        <v>1.4179972207254401</v>
      </c>
      <c r="I32">
        <v>3.3923604043693598</v>
      </c>
      <c r="J32">
        <v>9.6491532615659903</v>
      </c>
      <c r="K32">
        <v>8.9049797855359394</v>
      </c>
      <c r="L32">
        <v>4.6333871984506603</v>
      </c>
      <c r="M32">
        <v>5.01576606311533</v>
      </c>
      <c r="N32">
        <v>7.5631803253646407E-2</v>
      </c>
      <c r="O32">
        <v>7.5631803253646407E-2</v>
      </c>
      <c r="P32">
        <v>0</v>
      </c>
      <c r="Q32">
        <v>61.8</v>
      </c>
      <c r="R32">
        <v>61.8</v>
      </c>
      <c r="S32">
        <v>21</v>
      </c>
    </row>
    <row r="33" spans="1:19" x14ac:dyDescent="0.35">
      <c r="A33" t="s">
        <v>27</v>
      </c>
      <c r="B33" t="s">
        <v>28</v>
      </c>
      <c r="C33">
        <v>8.5</v>
      </c>
      <c r="D33">
        <v>0.59431999999999996</v>
      </c>
      <c r="E33">
        <v>0.40567999999999999</v>
      </c>
      <c r="F33">
        <f t="shared" si="0"/>
        <v>1.557958550824347</v>
      </c>
      <c r="G33">
        <f t="shared" si="1"/>
        <v>2.2824046685218051</v>
      </c>
      <c r="H33">
        <v>1.6825952348902899</v>
      </c>
      <c r="I33">
        <v>2.4649970420035401</v>
      </c>
      <c r="J33">
        <v>9.6491532615659903</v>
      </c>
      <c r="K33">
        <v>8.9049797855359394</v>
      </c>
      <c r="L33">
        <v>4.6333871984506603</v>
      </c>
      <c r="M33">
        <v>5.01576606311533</v>
      </c>
      <c r="N33">
        <v>7.5631803253646407E-2</v>
      </c>
      <c r="O33">
        <v>7.5631803253646407E-2</v>
      </c>
      <c r="P33">
        <v>0</v>
      </c>
      <c r="Q33">
        <v>61.8</v>
      </c>
      <c r="R33">
        <v>61.8</v>
      </c>
      <c r="S33">
        <v>21</v>
      </c>
    </row>
    <row r="34" spans="1:19" x14ac:dyDescent="0.35">
      <c r="A34" t="s">
        <v>27</v>
      </c>
      <c r="B34" t="s">
        <v>28</v>
      </c>
      <c r="C34">
        <v>9.5</v>
      </c>
      <c r="D34">
        <v>0.48126000000000002</v>
      </c>
      <c r="E34">
        <v>0.51873999999999998</v>
      </c>
      <c r="F34">
        <f t="shared" si="0"/>
        <v>1.9239619455718862</v>
      </c>
      <c r="G34">
        <f t="shared" si="1"/>
        <v>1.7849518562785323</v>
      </c>
      <c r="H34">
        <v>2.07787890121763</v>
      </c>
      <c r="I34">
        <v>1.92774800478081</v>
      </c>
      <c r="J34">
        <v>9.6491532615659903</v>
      </c>
      <c r="K34">
        <v>8.9049797855359394</v>
      </c>
      <c r="L34">
        <v>4.6333871984506603</v>
      </c>
      <c r="M34">
        <v>5.01576606311533</v>
      </c>
      <c r="N34">
        <v>7.5631803253646407E-2</v>
      </c>
      <c r="O34">
        <v>7.5631803253646407E-2</v>
      </c>
      <c r="P34">
        <v>0</v>
      </c>
      <c r="Q34">
        <v>61.8</v>
      </c>
      <c r="R34">
        <v>61.8</v>
      </c>
      <c r="S34">
        <v>21</v>
      </c>
    </row>
    <row r="35" spans="1:19" x14ac:dyDescent="0.35">
      <c r="A35" t="s">
        <v>27</v>
      </c>
      <c r="B35" t="s">
        <v>28</v>
      </c>
      <c r="C35">
        <v>10.5</v>
      </c>
      <c r="D35">
        <v>0.37672</v>
      </c>
      <c r="E35">
        <v>0.62327999999999995</v>
      </c>
      <c r="F35">
        <f t="shared" si="0"/>
        <v>2.4578624068961719</v>
      </c>
      <c r="G35">
        <f t="shared" si="1"/>
        <v>1.4855697694871099</v>
      </c>
      <c r="H35">
        <v>2.6544913994478598</v>
      </c>
      <c r="I35">
        <v>1.6044153510460699</v>
      </c>
      <c r="J35">
        <v>9.6491532615659903</v>
      </c>
      <c r="K35">
        <v>8.9049797855359394</v>
      </c>
      <c r="L35">
        <v>4.6333871984506603</v>
      </c>
      <c r="M35">
        <v>5.01576606311533</v>
      </c>
      <c r="N35">
        <v>7.5631803253646407E-2</v>
      </c>
      <c r="O35">
        <v>7.5631803253646407E-2</v>
      </c>
      <c r="P35">
        <v>0</v>
      </c>
      <c r="Q35">
        <v>61.8</v>
      </c>
      <c r="R35">
        <v>61.8</v>
      </c>
      <c r="S35">
        <v>21</v>
      </c>
    </row>
    <row r="36" spans="1:19" x14ac:dyDescent="0.35">
      <c r="A36" t="s">
        <v>27</v>
      </c>
      <c r="B36" t="s">
        <v>28</v>
      </c>
      <c r="C36">
        <v>11.5</v>
      </c>
      <c r="D36">
        <v>0.28426000000000001</v>
      </c>
      <c r="E36">
        <v>0.71574000000000004</v>
      </c>
      <c r="F36">
        <f t="shared" si="0"/>
        <v>3.2573205020964111</v>
      </c>
      <c r="G36">
        <f t="shared" si="1"/>
        <v>1.2936623996506076</v>
      </c>
      <c r="H36">
        <v>3.51790614226412</v>
      </c>
      <c r="I36">
        <v>1.39715539162265</v>
      </c>
      <c r="J36">
        <v>9.6491532615659903</v>
      </c>
      <c r="K36">
        <v>8.9049797855359394</v>
      </c>
      <c r="L36">
        <v>4.6333871984506603</v>
      </c>
      <c r="M36">
        <v>5.01576606311533</v>
      </c>
      <c r="N36">
        <v>7.5631803253646407E-2</v>
      </c>
      <c r="O36">
        <v>7.5631803253646407E-2</v>
      </c>
      <c r="P36">
        <v>0</v>
      </c>
      <c r="Q36">
        <v>61.8</v>
      </c>
      <c r="R36">
        <v>61.8</v>
      </c>
      <c r="S36">
        <v>21</v>
      </c>
    </row>
    <row r="37" spans="1:19" x14ac:dyDescent="0.35">
      <c r="A37" t="s">
        <v>27</v>
      </c>
      <c r="B37" t="s">
        <v>28</v>
      </c>
      <c r="C37">
        <v>12.5</v>
      </c>
      <c r="D37">
        <v>0.20524000000000001</v>
      </c>
      <c r="E37">
        <v>0.79476000000000002</v>
      </c>
      <c r="F37">
        <f t="shared" si="0"/>
        <v>4.5114301594519866</v>
      </c>
      <c r="G37">
        <f t="shared" si="1"/>
        <v>1.1650384089862673</v>
      </c>
      <c r="H37">
        <v>4.8723445722081404</v>
      </c>
      <c r="I37">
        <v>1.2582414817051599</v>
      </c>
      <c r="J37">
        <v>9.6491532615659903</v>
      </c>
      <c r="K37">
        <v>8.9049797855359394</v>
      </c>
      <c r="L37">
        <v>4.6333871984506603</v>
      </c>
      <c r="M37">
        <v>5.01576606311533</v>
      </c>
      <c r="N37">
        <v>7.5631803253646407E-2</v>
      </c>
      <c r="O37">
        <v>7.5631803253646407E-2</v>
      </c>
      <c r="P37">
        <v>0</v>
      </c>
      <c r="Q37">
        <v>61.8</v>
      </c>
      <c r="R37">
        <v>61.8</v>
      </c>
      <c r="S37">
        <v>21</v>
      </c>
    </row>
    <row r="38" spans="1:19" x14ac:dyDescent="0.35">
      <c r="A38" t="s">
        <v>29</v>
      </c>
      <c r="B38" t="s">
        <v>30</v>
      </c>
      <c r="C38">
        <v>7.5</v>
      </c>
      <c r="D38">
        <v>0.60031999999999996</v>
      </c>
      <c r="E38">
        <v>0.39967999999999998</v>
      </c>
      <c r="F38">
        <f t="shared" si="0"/>
        <v>1.5423872699992103</v>
      </c>
      <c r="G38">
        <f t="shared" si="1"/>
        <v>2.3166681493342822</v>
      </c>
      <c r="H38">
        <v>1.6657782515991399</v>
      </c>
      <c r="I38">
        <v>2.50200160128102</v>
      </c>
      <c r="J38">
        <v>8.6878122165171394</v>
      </c>
      <c r="K38">
        <v>8.9049797855359394</v>
      </c>
      <c r="L38">
        <v>4.7949137401606201</v>
      </c>
      <c r="M38">
        <v>3.89289847635651</v>
      </c>
      <c r="N38">
        <v>7.5631803253646407E-2</v>
      </c>
      <c r="O38">
        <v>0.105884524555105</v>
      </c>
      <c r="P38">
        <v>1</v>
      </c>
      <c r="Q38">
        <v>61.8</v>
      </c>
      <c r="R38">
        <v>20</v>
      </c>
      <c r="S38">
        <v>21</v>
      </c>
    </row>
    <row r="39" spans="1:19" x14ac:dyDescent="0.35">
      <c r="A39" t="s">
        <v>29</v>
      </c>
      <c r="B39" t="s">
        <v>30</v>
      </c>
      <c r="C39">
        <v>8.5</v>
      </c>
      <c r="D39">
        <v>0.48476000000000002</v>
      </c>
      <c r="E39">
        <v>0.51523999999999903</v>
      </c>
      <c r="F39">
        <f t="shared" si="0"/>
        <v>1.9100708101450736</v>
      </c>
      <c r="G39">
        <f t="shared" si="1"/>
        <v>1.7970769465218686</v>
      </c>
      <c r="H39">
        <v>2.0628764749566701</v>
      </c>
      <c r="I39">
        <v>1.9408431022436099</v>
      </c>
      <c r="J39">
        <v>8.6878122165171394</v>
      </c>
      <c r="K39">
        <v>8.9049797855359394</v>
      </c>
      <c r="L39">
        <v>4.7949137401606201</v>
      </c>
      <c r="M39">
        <v>3.89289847635651</v>
      </c>
      <c r="N39">
        <v>7.5631803253646407E-2</v>
      </c>
      <c r="O39">
        <v>0.105884524555105</v>
      </c>
      <c r="P39">
        <v>1</v>
      </c>
      <c r="Q39">
        <v>61.8</v>
      </c>
      <c r="R39">
        <v>20</v>
      </c>
      <c r="S39">
        <v>21</v>
      </c>
    </row>
    <row r="40" spans="1:19" x14ac:dyDescent="0.35">
      <c r="A40" t="s">
        <v>29</v>
      </c>
      <c r="B40" t="s">
        <v>30</v>
      </c>
      <c r="C40">
        <v>9.5</v>
      </c>
      <c r="D40">
        <v>0.37819999999999998</v>
      </c>
      <c r="E40">
        <v>0.62180000000000002</v>
      </c>
      <c r="F40">
        <f t="shared" si="0"/>
        <v>2.4482441193176254</v>
      </c>
      <c r="G40">
        <f t="shared" si="1"/>
        <v>1.489105702679199</v>
      </c>
      <c r="H40">
        <v>2.6441036488630298</v>
      </c>
      <c r="I40">
        <v>1.6082341588935301</v>
      </c>
      <c r="J40">
        <v>8.6878122165171394</v>
      </c>
      <c r="K40">
        <v>8.9049797855359394</v>
      </c>
      <c r="L40">
        <v>4.7949137401606201</v>
      </c>
      <c r="M40">
        <v>3.89289847635651</v>
      </c>
      <c r="N40">
        <v>7.5631803253646407E-2</v>
      </c>
      <c r="O40">
        <v>0.105884524555105</v>
      </c>
      <c r="P40">
        <v>1</v>
      </c>
      <c r="Q40">
        <v>61.8</v>
      </c>
      <c r="R40">
        <v>20</v>
      </c>
      <c r="S40">
        <v>21</v>
      </c>
    </row>
    <row r="41" spans="1:19" x14ac:dyDescent="0.35">
      <c r="A41" t="s">
        <v>29</v>
      </c>
      <c r="B41" t="s">
        <v>30</v>
      </c>
      <c r="C41">
        <v>10.5</v>
      </c>
      <c r="D41">
        <v>0.28289999999999998</v>
      </c>
      <c r="E41">
        <v>0.71709999999999996</v>
      </c>
      <c r="F41">
        <f t="shared" si="0"/>
        <v>3.2729795896992782</v>
      </c>
      <c r="G41">
        <f t="shared" si="1"/>
        <v>1.2912089330998826</v>
      </c>
      <c r="H41">
        <v>3.5348179568752198</v>
      </c>
      <c r="I41">
        <v>1.3945056477478699</v>
      </c>
      <c r="J41">
        <v>8.6878122165171394</v>
      </c>
      <c r="K41">
        <v>8.9049797855359394</v>
      </c>
      <c r="L41">
        <v>4.7949137401606201</v>
      </c>
      <c r="M41">
        <v>3.89289847635651</v>
      </c>
      <c r="N41">
        <v>7.5631803253646407E-2</v>
      </c>
      <c r="O41">
        <v>0.105884524555105</v>
      </c>
      <c r="P41">
        <v>1</v>
      </c>
      <c r="Q41">
        <v>61.8</v>
      </c>
      <c r="R41">
        <v>20</v>
      </c>
      <c r="S41">
        <v>21</v>
      </c>
    </row>
    <row r="42" spans="1:19" x14ac:dyDescent="0.35">
      <c r="A42" t="s">
        <v>29</v>
      </c>
      <c r="B42" t="s">
        <v>30</v>
      </c>
      <c r="C42">
        <v>11.5</v>
      </c>
      <c r="D42">
        <v>0.20327999999999999</v>
      </c>
      <c r="E42">
        <v>0.79671999999999998</v>
      </c>
      <c r="F42">
        <f t="shared" si="0"/>
        <v>4.5549287973530399</v>
      </c>
      <c r="G42">
        <f t="shared" si="1"/>
        <v>1.1621723138943743</v>
      </c>
      <c r="H42">
        <v>4.9193231011412797</v>
      </c>
      <c r="I42">
        <v>1.25514609900592</v>
      </c>
      <c r="J42">
        <v>8.6878122165171394</v>
      </c>
      <c r="K42">
        <v>8.9049797855359394</v>
      </c>
      <c r="L42">
        <v>4.7949137401606201</v>
      </c>
      <c r="M42">
        <v>3.89289847635651</v>
      </c>
      <c r="N42">
        <v>7.5631803253646407E-2</v>
      </c>
      <c r="O42">
        <v>0.105884524555105</v>
      </c>
      <c r="P42">
        <v>1</v>
      </c>
      <c r="Q42">
        <v>61.8</v>
      </c>
      <c r="R42">
        <v>20</v>
      </c>
      <c r="S42">
        <v>21</v>
      </c>
    </row>
    <row r="43" spans="1:19" x14ac:dyDescent="0.35">
      <c r="A43" t="s">
        <v>29</v>
      </c>
      <c r="B43" t="s">
        <v>30</v>
      </c>
      <c r="C43">
        <v>12.5</v>
      </c>
      <c r="D43">
        <v>0.14050000000000001</v>
      </c>
      <c r="E43">
        <v>0.85949999999999904</v>
      </c>
      <c r="F43">
        <f t="shared" si="0"/>
        <v>6.5902201133517853</v>
      </c>
      <c r="G43">
        <f t="shared" si="1"/>
        <v>1.0772843815310378</v>
      </c>
      <c r="H43">
        <v>7.1174377224199201</v>
      </c>
      <c r="I43">
        <v>1.1634671320535099</v>
      </c>
      <c r="J43">
        <v>8.6878122165171394</v>
      </c>
      <c r="K43">
        <v>8.9049797855359394</v>
      </c>
      <c r="L43">
        <v>4.7949137401606201</v>
      </c>
      <c r="M43">
        <v>3.89289847635651</v>
      </c>
      <c r="N43">
        <v>7.5631803253646407E-2</v>
      </c>
      <c r="O43">
        <v>0.105884524555105</v>
      </c>
      <c r="P43">
        <v>1</v>
      </c>
      <c r="Q43">
        <v>61.8</v>
      </c>
      <c r="R43">
        <v>20</v>
      </c>
      <c r="S43">
        <v>21</v>
      </c>
    </row>
    <row r="44" spans="1:19" x14ac:dyDescent="0.35">
      <c r="A44" t="s">
        <v>31</v>
      </c>
      <c r="B44" t="s">
        <v>32</v>
      </c>
      <c r="C44">
        <v>7.5</v>
      </c>
      <c r="D44">
        <v>0.76190000000000002</v>
      </c>
      <c r="E44">
        <v>0.23809999999999901</v>
      </c>
      <c r="F44">
        <f t="shared" si="0"/>
        <v>1.2152853733113609</v>
      </c>
      <c r="G44">
        <f t="shared" si="1"/>
        <v>3.8888111126666516</v>
      </c>
      <c r="H44">
        <v>1.31250820317626</v>
      </c>
      <c r="I44">
        <v>4.1999160016799602</v>
      </c>
      <c r="J44">
        <v>10.5573751040905</v>
      </c>
      <c r="K44">
        <v>8.9049797855359394</v>
      </c>
      <c r="L44">
        <v>4.93744484056021</v>
      </c>
      <c r="M44">
        <v>5.6199302635303496</v>
      </c>
      <c r="N44">
        <v>7.5631803253646407E-2</v>
      </c>
      <c r="O44">
        <v>0.105884524555105</v>
      </c>
      <c r="P44">
        <v>1</v>
      </c>
      <c r="Q44">
        <v>35.200000000000003</v>
      </c>
      <c r="R44">
        <v>61.8</v>
      </c>
      <c r="S44">
        <v>21</v>
      </c>
    </row>
    <row r="45" spans="1:19" x14ac:dyDescent="0.35">
      <c r="A45" t="s">
        <v>31</v>
      </c>
      <c r="B45" t="s">
        <v>32</v>
      </c>
      <c r="C45">
        <v>8.5</v>
      </c>
      <c r="D45">
        <v>0.66720000000000002</v>
      </c>
      <c r="E45">
        <v>0.33279999999999998</v>
      </c>
      <c r="F45">
        <f t="shared" si="0"/>
        <v>1.3877786659561238</v>
      </c>
      <c r="G45">
        <f t="shared" si="1"/>
        <v>2.7822293447293447</v>
      </c>
      <c r="H45">
        <v>1.4988009592326099</v>
      </c>
      <c r="I45">
        <v>3.0048076923076898</v>
      </c>
      <c r="J45">
        <v>10.5573751040905</v>
      </c>
      <c r="K45">
        <v>8.9049797855359394</v>
      </c>
      <c r="L45">
        <v>4.93744484056021</v>
      </c>
      <c r="M45">
        <v>5.6199302635303496</v>
      </c>
      <c r="N45">
        <v>7.5631803253646407E-2</v>
      </c>
      <c r="O45">
        <v>0.105884524555105</v>
      </c>
      <c r="P45">
        <v>1</v>
      </c>
      <c r="Q45">
        <v>35.200000000000003</v>
      </c>
      <c r="R45">
        <v>61.8</v>
      </c>
      <c r="S45">
        <v>21</v>
      </c>
    </row>
    <row r="46" spans="1:19" x14ac:dyDescent="0.35">
      <c r="A46" t="s">
        <v>31</v>
      </c>
      <c r="B46" t="s">
        <v>32</v>
      </c>
      <c r="C46">
        <v>9.5</v>
      </c>
      <c r="D46">
        <v>0.56859999999999999</v>
      </c>
      <c r="E46">
        <v>0.43140000000000001</v>
      </c>
      <c r="F46">
        <f t="shared" si="0"/>
        <v>1.6284311043368376</v>
      </c>
      <c r="G46">
        <f t="shared" si="1"/>
        <v>2.1463280619516127</v>
      </c>
      <c r="H46">
        <v>1.75870559268378</v>
      </c>
      <c r="I46">
        <v>2.31803430690774</v>
      </c>
      <c r="J46">
        <v>10.5573751040905</v>
      </c>
      <c r="K46">
        <v>8.9049797855359394</v>
      </c>
      <c r="L46">
        <v>4.93744484056021</v>
      </c>
      <c r="M46">
        <v>5.6199302635303496</v>
      </c>
      <c r="N46">
        <v>7.5631803253646407E-2</v>
      </c>
      <c r="O46">
        <v>0.105884524555105</v>
      </c>
      <c r="P46">
        <v>1</v>
      </c>
      <c r="Q46">
        <v>35.200000000000003</v>
      </c>
      <c r="R46">
        <v>61.8</v>
      </c>
      <c r="S46">
        <v>21</v>
      </c>
    </row>
    <row r="47" spans="1:19" x14ac:dyDescent="0.35">
      <c r="A47" t="s">
        <v>31</v>
      </c>
      <c r="B47" t="s">
        <v>32</v>
      </c>
      <c r="C47">
        <v>10.5</v>
      </c>
      <c r="D47">
        <v>0.46916000000000002</v>
      </c>
      <c r="E47">
        <v>0.53083999999999998</v>
      </c>
      <c r="F47">
        <f t="shared" si="0"/>
        <v>1.9735824152227937</v>
      </c>
      <c r="G47">
        <f t="shared" si="1"/>
        <v>1.7442655525693729</v>
      </c>
      <c r="H47">
        <v>2.13146900844061</v>
      </c>
      <c r="I47">
        <v>1.8838067967749199</v>
      </c>
      <c r="J47">
        <v>10.5573751040905</v>
      </c>
      <c r="K47">
        <v>8.9049797855359394</v>
      </c>
      <c r="L47">
        <v>4.93744484056021</v>
      </c>
      <c r="M47">
        <v>5.6199302635303496</v>
      </c>
      <c r="N47">
        <v>7.5631803253646407E-2</v>
      </c>
      <c r="O47">
        <v>0.105884524555105</v>
      </c>
      <c r="P47">
        <v>1</v>
      </c>
      <c r="Q47">
        <v>35.200000000000003</v>
      </c>
      <c r="R47">
        <v>61.8</v>
      </c>
      <c r="S47">
        <v>21</v>
      </c>
    </row>
    <row r="48" spans="1:19" x14ac:dyDescent="0.35">
      <c r="A48" t="s">
        <v>31</v>
      </c>
      <c r="B48" t="s">
        <v>32</v>
      </c>
      <c r="C48">
        <v>11.5</v>
      </c>
      <c r="D48">
        <v>0.37419999999999998</v>
      </c>
      <c r="E48">
        <v>0.62580000000000002</v>
      </c>
      <c r="F48">
        <f t="shared" si="0"/>
        <v>2.4744145535166382</v>
      </c>
      <c r="G48">
        <f t="shared" si="1"/>
        <v>1.4795876093415243</v>
      </c>
      <c r="H48">
        <v>2.6723677177979601</v>
      </c>
      <c r="I48">
        <v>1.59795461808884</v>
      </c>
      <c r="J48">
        <v>10.5573751040905</v>
      </c>
      <c r="K48">
        <v>8.9049797855359394</v>
      </c>
      <c r="L48">
        <v>4.93744484056021</v>
      </c>
      <c r="M48">
        <v>5.6199302635303496</v>
      </c>
      <c r="N48">
        <v>7.5631803253646407E-2</v>
      </c>
      <c r="O48">
        <v>0.105884524555105</v>
      </c>
      <c r="P48">
        <v>1</v>
      </c>
      <c r="Q48">
        <v>35.200000000000003</v>
      </c>
      <c r="R48">
        <v>61.8</v>
      </c>
      <c r="S48">
        <v>21</v>
      </c>
    </row>
    <row r="49" spans="1:19" x14ac:dyDescent="0.35">
      <c r="A49" t="s">
        <v>31</v>
      </c>
      <c r="B49" t="s">
        <v>32</v>
      </c>
      <c r="C49">
        <v>12.5</v>
      </c>
      <c r="D49">
        <v>0.28877999999999998</v>
      </c>
      <c r="E49">
        <v>0.71121999999999996</v>
      </c>
      <c r="F49">
        <f t="shared" si="0"/>
        <v>3.2063367474407021</v>
      </c>
      <c r="G49">
        <f t="shared" si="1"/>
        <v>1.3018839823485362</v>
      </c>
      <c r="H49">
        <v>3.4628436872359498</v>
      </c>
      <c r="I49">
        <v>1.40603470093641</v>
      </c>
      <c r="J49">
        <v>10.5573751040905</v>
      </c>
      <c r="K49">
        <v>8.9049797855359394</v>
      </c>
      <c r="L49">
        <v>4.93744484056021</v>
      </c>
      <c r="M49">
        <v>5.6199302635303496</v>
      </c>
      <c r="N49">
        <v>7.5631803253646407E-2</v>
      </c>
      <c r="O49">
        <v>0.105884524555105</v>
      </c>
      <c r="P49">
        <v>1</v>
      </c>
      <c r="Q49">
        <v>35.200000000000003</v>
      </c>
      <c r="R49">
        <v>61.8</v>
      </c>
      <c r="S49">
        <v>21</v>
      </c>
    </row>
    <row r="50" spans="1:19" x14ac:dyDescent="0.35">
      <c r="A50" t="s">
        <v>33</v>
      </c>
      <c r="B50" t="s">
        <v>34</v>
      </c>
      <c r="C50">
        <v>7.5</v>
      </c>
      <c r="D50">
        <v>0.61636000000000002</v>
      </c>
      <c r="E50">
        <v>0.38363999999999998</v>
      </c>
      <c r="F50">
        <f t="shared" si="0"/>
        <v>1.5022485656530693</v>
      </c>
      <c r="G50">
        <f t="shared" si="1"/>
        <v>2.4135281147063026</v>
      </c>
      <c r="H50">
        <v>1.62242845090531</v>
      </c>
      <c r="I50">
        <v>2.6066103638828002</v>
      </c>
      <c r="J50">
        <v>8.8281186284394302</v>
      </c>
      <c r="K50">
        <v>8.9049797855359394</v>
      </c>
      <c r="L50">
        <v>4.4003927884023497</v>
      </c>
      <c r="M50">
        <v>4.4277258400370698</v>
      </c>
      <c r="N50">
        <v>7.5631803253646407E-2</v>
      </c>
      <c r="O50">
        <v>0.105884524555105</v>
      </c>
      <c r="P50">
        <v>1</v>
      </c>
      <c r="Q50">
        <v>61.8</v>
      </c>
      <c r="R50">
        <v>20</v>
      </c>
      <c r="S50">
        <v>21</v>
      </c>
    </row>
    <row r="51" spans="1:19" x14ac:dyDescent="0.35">
      <c r="A51" t="s">
        <v>33</v>
      </c>
      <c r="B51" t="s">
        <v>34</v>
      </c>
      <c r="C51">
        <v>8.5</v>
      </c>
      <c r="D51">
        <v>0.50190000000000001</v>
      </c>
      <c r="E51">
        <v>0.49809999999999999</v>
      </c>
      <c r="F51">
        <f t="shared" si="0"/>
        <v>1.844841454325415</v>
      </c>
      <c r="G51">
        <f t="shared" si="1"/>
        <v>1.8589157316320537</v>
      </c>
      <c r="H51">
        <v>1.9924287706714401</v>
      </c>
      <c r="I51">
        <v>2.0076289901626101</v>
      </c>
      <c r="J51">
        <v>8.8281186284394302</v>
      </c>
      <c r="K51">
        <v>8.9049797855359394</v>
      </c>
      <c r="L51">
        <v>4.4003927884023497</v>
      </c>
      <c r="M51">
        <v>4.4277258400370698</v>
      </c>
      <c r="N51">
        <v>7.5631803253646407E-2</v>
      </c>
      <c r="O51">
        <v>0.105884524555105</v>
      </c>
      <c r="P51">
        <v>1</v>
      </c>
      <c r="Q51">
        <v>61.8</v>
      </c>
      <c r="R51">
        <v>20</v>
      </c>
      <c r="S51">
        <v>21</v>
      </c>
    </row>
    <row r="52" spans="1:19" x14ac:dyDescent="0.35">
      <c r="A52" t="s">
        <v>33</v>
      </c>
      <c r="B52" t="s">
        <v>34</v>
      </c>
      <c r="C52">
        <v>9.5</v>
      </c>
      <c r="D52">
        <v>0.39378000000000002</v>
      </c>
      <c r="E52">
        <v>0.60621999999999998</v>
      </c>
      <c r="F52">
        <f t="shared" si="0"/>
        <v>2.3513787544464568</v>
      </c>
      <c r="G52">
        <f t="shared" si="1"/>
        <v>1.5273760778692982</v>
      </c>
      <c r="H52">
        <v>2.53948905480217</v>
      </c>
      <c r="I52">
        <v>1.6495661640988399</v>
      </c>
      <c r="J52">
        <v>8.8281186284394302</v>
      </c>
      <c r="K52">
        <v>8.9049797855359394</v>
      </c>
      <c r="L52">
        <v>4.4003927884023497</v>
      </c>
      <c r="M52">
        <v>4.4277258400370698</v>
      </c>
      <c r="N52">
        <v>7.5631803253646407E-2</v>
      </c>
      <c r="O52">
        <v>0.105884524555105</v>
      </c>
      <c r="P52">
        <v>1</v>
      </c>
      <c r="Q52">
        <v>61.8</v>
      </c>
      <c r="R52">
        <v>20</v>
      </c>
      <c r="S52">
        <v>21</v>
      </c>
    </row>
    <row r="53" spans="1:19" x14ac:dyDescent="0.35">
      <c r="A53" t="s">
        <v>33</v>
      </c>
      <c r="B53" t="s">
        <v>34</v>
      </c>
      <c r="C53">
        <v>10.5</v>
      </c>
      <c r="D53">
        <v>0.29614000000000001</v>
      </c>
      <c r="E53">
        <v>0.70385999999999904</v>
      </c>
      <c r="F53">
        <f t="shared" si="0"/>
        <v>3.126649307509711</v>
      </c>
      <c r="G53">
        <f t="shared" si="1"/>
        <v>1.3154972948113648</v>
      </c>
      <c r="H53">
        <v>3.3767812521104799</v>
      </c>
      <c r="I53">
        <v>1.4207370783962701</v>
      </c>
      <c r="J53">
        <v>8.8281186284394302</v>
      </c>
      <c r="K53">
        <v>8.9049797855359394</v>
      </c>
      <c r="L53">
        <v>4.4003927884023497</v>
      </c>
      <c r="M53">
        <v>4.4277258400370698</v>
      </c>
      <c r="N53">
        <v>7.5631803253646407E-2</v>
      </c>
      <c r="O53">
        <v>0.105884524555105</v>
      </c>
      <c r="P53">
        <v>1</v>
      </c>
      <c r="Q53">
        <v>61.8</v>
      </c>
      <c r="R53">
        <v>20</v>
      </c>
      <c r="S53">
        <v>21</v>
      </c>
    </row>
    <row r="54" spans="1:19" x14ac:dyDescent="0.35">
      <c r="A54" t="s">
        <v>33</v>
      </c>
      <c r="B54" t="s">
        <v>34</v>
      </c>
      <c r="C54">
        <v>11.5</v>
      </c>
      <c r="D54">
        <v>0.21468000000000001</v>
      </c>
      <c r="E54">
        <v>0.78532000000000002</v>
      </c>
      <c r="F54">
        <f t="shared" si="0"/>
        <v>4.3130516393046667</v>
      </c>
      <c r="G54">
        <f t="shared" si="1"/>
        <v>1.1790428435872331</v>
      </c>
      <c r="H54">
        <v>4.65809577044904</v>
      </c>
      <c r="I54">
        <v>1.27336627107421</v>
      </c>
      <c r="J54">
        <v>8.8281186284394302</v>
      </c>
      <c r="K54">
        <v>8.9049797855359394</v>
      </c>
      <c r="L54">
        <v>4.4003927884023497</v>
      </c>
      <c r="M54">
        <v>4.4277258400370698</v>
      </c>
      <c r="N54">
        <v>7.5631803253646407E-2</v>
      </c>
      <c r="O54">
        <v>0.105884524555105</v>
      </c>
      <c r="P54">
        <v>1</v>
      </c>
      <c r="Q54">
        <v>61.8</v>
      </c>
      <c r="R54">
        <v>20</v>
      </c>
      <c r="S54">
        <v>21</v>
      </c>
    </row>
    <row r="55" spans="1:19" x14ac:dyDescent="0.35">
      <c r="A55" t="s">
        <v>33</v>
      </c>
      <c r="B55" t="s">
        <v>34</v>
      </c>
      <c r="C55">
        <v>12.5</v>
      </c>
      <c r="D55">
        <v>0.14942</v>
      </c>
      <c r="E55">
        <v>0.85058</v>
      </c>
      <c r="F55">
        <f t="shared" si="0"/>
        <v>6.1968004679823707</v>
      </c>
      <c r="G55">
        <f t="shared" si="1"/>
        <v>1.0885818217286156</v>
      </c>
      <c r="H55">
        <v>6.69254450542096</v>
      </c>
      <c r="I55">
        <v>1.1756683674669</v>
      </c>
      <c r="J55">
        <v>8.8281186284394302</v>
      </c>
      <c r="K55">
        <v>8.9049797855359394</v>
      </c>
      <c r="L55">
        <v>4.4003927884023497</v>
      </c>
      <c r="M55">
        <v>4.4277258400370698</v>
      </c>
      <c r="N55">
        <v>7.5631803253646407E-2</v>
      </c>
      <c r="O55">
        <v>0.105884524555105</v>
      </c>
      <c r="P55">
        <v>1</v>
      </c>
      <c r="Q55">
        <v>61.8</v>
      </c>
      <c r="R55">
        <v>20</v>
      </c>
      <c r="S55">
        <v>21</v>
      </c>
    </row>
    <row r="56" spans="1:19" x14ac:dyDescent="0.35">
      <c r="A56" t="s">
        <v>35</v>
      </c>
      <c r="B56" t="s">
        <v>36</v>
      </c>
      <c r="C56">
        <v>7.5</v>
      </c>
      <c r="D56">
        <v>0.64380000000000004</v>
      </c>
      <c r="E56">
        <v>0.35619999999999902</v>
      </c>
      <c r="F56">
        <f t="shared" si="0"/>
        <v>1.4382198290244266</v>
      </c>
      <c r="G56">
        <f t="shared" si="1"/>
        <v>2.5994551541996866</v>
      </c>
      <c r="H56">
        <v>1.55327741534638</v>
      </c>
      <c r="I56">
        <v>2.80741156653565</v>
      </c>
      <c r="J56">
        <v>9.0260113045619192</v>
      </c>
      <c r="K56">
        <v>8.9049797855359394</v>
      </c>
      <c r="L56">
        <v>5.4369594329547599</v>
      </c>
      <c r="M56">
        <v>3.5890518716071602</v>
      </c>
      <c r="N56">
        <v>7.5631803253646407E-2</v>
      </c>
      <c r="O56">
        <v>7.5631803253646407E-2</v>
      </c>
      <c r="P56">
        <v>0</v>
      </c>
      <c r="Q56">
        <v>61.8</v>
      </c>
      <c r="R56">
        <v>61.8</v>
      </c>
      <c r="S56">
        <v>21</v>
      </c>
    </row>
    <row r="57" spans="1:19" x14ac:dyDescent="0.35">
      <c r="A57" t="s">
        <v>35</v>
      </c>
      <c r="B57" t="s">
        <v>36</v>
      </c>
      <c r="C57">
        <v>8.5</v>
      </c>
      <c r="D57">
        <v>0.52890000000000004</v>
      </c>
      <c r="E57">
        <v>0.47109999999999902</v>
      </c>
      <c r="F57">
        <f t="shared" si="0"/>
        <v>1.750663501467056</v>
      </c>
      <c r="G57">
        <f t="shared" si="1"/>
        <v>1.9654551601059811</v>
      </c>
      <c r="H57">
        <v>1.89071658158442</v>
      </c>
      <c r="I57">
        <v>2.1226915729144502</v>
      </c>
      <c r="J57">
        <v>9.0260113045619192</v>
      </c>
      <c r="K57">
        <v>8.9049797855359394</v>
      </c>
      <c r="L57">
        <v>5.4369594329547599</v>
      </c>
      <c r="M57">
        <v>3.5890518716071602</v>
      </c>
      <c r="N57">
        <v>7.5631803253646407E-2</v>
      </c>
      <c r="O57">
        <v>7.5631803253646407E-2</v>
      </c>
      <c r="P57">
        <v>0</v>
      </c>
      <c r="Q57">
        <v>61.8</v>
      </c>
      <c r="R57">
        <v>61.8</v>
      </c>
      <c r="S57">
        <v>21</v>
      </c>
    </row>
    <row r="58" spans="1:19" x14ac:dyDescent="0.35">
      <c r="A58" t="s">
        <v>35</v>
      </c>
      <c r="B58" t="s">
        <v>36</v>
      </c>
      <c r="C58">
        <v>9.5</v>
      </c>
      <c r="D58">
        <v>0.41386000000000001</v>
      </c>
      <c r="E58">
        <v>0.58613999999999999</v>
      </c>
      <c r="F58">
        <f t="shared" si="0"/>
        <v>2.2372926253465564</v>
      </c>
      <c r="G58">
        <f t="shared" si="1"/>
        <v>1.5797009689253863</v>
      </c>
      <c r="H58">
        <v>2.4162760353742798</v>
      </c>
      <c r="I58">
        <v>1.7060770464394099</v>
      </c>
      <c r="J58">
        <v>9.0260113045619192</v>
      </c>
      <c r="K58">
        <v>8.9049797855359394</v>
      </c>
      <c r="L58">
        <v>5.4369594329547599</v>
      </c>
      <c r="M58">
        <v>3.5890518716071602</v>
      </c>
      <c r="N58">
        <v>7.5631803253646407E-2</v>
      </c>
      <c r="O58">
        <v>7.5631803253646407E-2</v>
      </c>
      <c r="P58">
        <v>0</v>
      </c>
      <c r="Q58">
        <v>61.8</v>
      </c>
      <c r="R58">
        <v>61.8</v>
      </c>
      <c r="S58">
        <v>21</v>
      </c>
    </row>
    <row r="59" spans="1:19" x14ac:dyDescent="0.35">
      <c r="A59" t="s">
        <v>35</v>
      </c>
      <c r="B59" t="s">
        <v>36</v>
      </c>
      <c r="C59">
        <v>10.5</v>
      </c>
      <c r="D59">
        <v>0.31128</v>
      </c>
      <c r="E59">
        <v>0.68872</v>
      </c>
      <c r="F59">
        <f t="shared" si="0"/>
        <v>2.9745757065212213</v>
      </c>
      <c r="G59">
        <f t="shared" si="1"/>
        <v>1.3444156201735478</v>
      </c>
      <c r="H59">
        <v>3.2125417630429101</v>
      </c>
      <c r="I59">
        <v>1.45196886978743</v>
      </c>
      <c r="J59">
        <v>9.0260113045619192</v>
      </c>
      <c r="K59">
        <v>8.9049797855359394</v>
      </c>
      <c r="L59">
        <v>5.4369594329547599</v>
      </c>
      <c r="M59">
        <v>3.5890518716071602</v>
      </c>
      <c r="N59">
        <v>7.5631803253646407E-2</v>
      </c>
      <c r="O59">
        <v>7.5631803253646407E-2</v>
      </c>
      <c r="P59">
        <v>0</v>
      </c>
      <c r="Q59">
        <v>61.8</v>
      </c>
      <c r="R59">
        <v>61.8</v>
      </c>
      <c r="S59">
        <v>21</v>
      </c>
    </row>
    <row r="60" spans="1:19" x14ac:dyDescent="0.35">
      <c r="A60" t="s">
        <v>35</v>
      </c>
      <c r="B60" t="s">
        <v>36</v>
      </c>
      <c r="C60">
        <v>11.5</v>
      </c>
      <c r="D60">
        <v>0.22556000000000001</v>
      </c>
      <c r="E60">
        <v>0.77444000000000002</v>
      </c>
      <c r="F60">
        <f t="shared" si="0"/>
        <v>4.1050094251016391</v>
      </c>
      <c r="G60">
        <f t="shared" si="1"/>
        <v>1.1956070527425311</v>
      </c>
      <c r="H60">
        <v>4.43341017910977</v>
      </c>
      <c r="I60">
        <v>1.29125561696193</v>
      </c>
      <c r="J60">
        <v>9.0260113045619192</v>
      </c>
      <c r="K60">
        <v>8.9049797855359394</v>
      </c>
      <c r="L60">
        <v>5.4369594329547599</v>
      </c>
      <c r="M60">
        <v>3.5890518716071602</v>
      </c>
      <c r="N60">
        <v>7.5631803253646407E-2</v>
      </c>
      <c r="O60">
        <v>7.5631803253646407E-2</v>
      </c>
      <c r="P60">
        <v>0</v>
      </c>
      <c r="Q60">
        <v>61.8</v>
      </c>
      <c r="R60">
        <v>61.8</v>
      </c>
      <c r="S60">
        <v>21</v>
      </c>
    </row>
    <row r="61" spans="1:19" x14ac:dyDescent="0.35">
      <c r="A61" t="s">
        <v>35</v>
      </c>
      <c r="B61" t="s">
        <v>36</v>
      </c>
      <c r="C61">
        <v>12.5</v>
      </c>
      <c r="D61">
        <v>0.15636</v>
      </c>
      <c r="E61">
        <v>0.84363999999999995</v>
      </c>
      <c r="F61">
        <f t="shared" si="0"/>
        <v>5.9217570089915954</v>
      </c>
      <c r="G61">
        <f t="shared" si="1"/>
        <v>1.097536776262299</v>
      </c>
      <c r="H61">
        <v>6.39549756971092</v>
      </c>
      <c r="I61">
        <v>1.1853397183632799</v>
      </c>
      <c r="J61">
        <v>9.0260113045619192</v>
      </c>
      <c r="K61">
        <v>8.9049797855359394</v>
      </c>
      <c r="L61">
        <v>5.4369594329547599</v>
      </c>
      <c r="M61">
        <v>3.5890518716071602</v>
      </c>
      <c r="N61">
        <v>7.5631803253646407E-2</v>
      </c>
      <c r="O61">
        <v>7.5631803253646407E-2</v>
      </c>
      <c r="P61">
        <v>0</v>
      </c>
      <c r="Q61">
        <v>61.8</v>
      </c>
      <c r="R61">
        <v>61.8</v>
      </c>
      <c r="S6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fair_odds_corners_next_gw_21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Poljak</dc:creator>
  <cp:lastModifiedBy>Ivana Poljak</cp:lastModifiedBy>
  <dcterms:created xsi:type="dcterms:W3CDTF">2026-01-06T23:40:13Z</dcterms:created>
  <dcterms:modified xsi:type="dcterms:W3CDTF">2026-01-07T11:02:01Z</dcterms:modified>
</cp:coreProperties>
</file>